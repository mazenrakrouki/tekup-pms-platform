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/>
  <mc:AlternateContent xmlns:mc="http://schemas.openxmlformats.org/markup-compatibility/2006">
    <mc:Choice Requires="x15">
      <x15ac:absPath xmlns:x15ac="http://schemas.microsoft.com/office/spreadsheetml/2010/11/ac" url="D:\STAGE S2I\Nouveau dossier\"/>
    </mc:Choice>
  </mc:AlternateContent>
  <xr:revisionPtr revIDLastSave="0" documentId="8_{9AABF93D-4C09-452F-8CAD-13394B2E93B7}" xr6:coauthVersionLast="47" xr6:coauthVersionMax="47" xr10:uidLastSave="{00000000-0000-0000-0000-000000000000}"/>
  <bookViews>
    <workbookView xWindow="-108" yWindow="-108" windowWidth="23256" windowHeight="13896" tabRatio="883" firstSheet="1" activeTab="20" xr2:uid="{2AF38A2E-3F17-4FCB-B1DA-93F0908D81C1}"/>
  </bookViews>
  <sheets>
    <sheet name="Fiche Doc" sheetId="39" state="hidden" r:id="rId1"/>
    <sheet name="Fiche identification" sheetId="1" r:id="rId2"/>
    <sheet name="TCC" sheetId="25" r:id="rId3"/>
    <sheet name="Missions" sheetId="49" r:id="rId4"/>
    <sheet name="Avancement_Facturation" sheetId="18" state="hidden" r:id="rId5"/>
    <sheet name="Recap Facturation (2)" sheetId="50" state="hidden" r:id="rId6"/>
    <sheet name="Coût Prévisionnel" sheetId="31" r:id="rId7"/>
    <sheet name="Coût réel Actualisé" sheetId="30" r:id="rId8"/>
    <sheet name="Recap Facturation" sheetId="27" r:id="rId9"/>
    <sheet name="S. Contractuelle" sheetId="17" state="hidden" r:id="rId10"/>
    <sheet name="Situation actuelle" sheetId="4" state="hidden" r:id="rId11"/>
    <sheet name="Parties Prenantes" sheetId="43" state="hidden" r:id="rId12"/>
    <sheet name="Livrables projet" sheetId="46" r:id="rId13"/>
    <sheet name="Base des Risques" sheetId="41" state="hidden" r:id="rId14"/>
    <sheet name="Liste des actions" sheetId="47" state="hidden" r:id="rId15"/>
    <sheet name="Registre Changement" sheetId="48" state="hidden" r:id="rId16"/>
    <sheet name="Avenants" sheetId="3" state="hidden" r:id="rId17"/>
    <sheet name="Statistiques" sheetId="37" r:id="rId18"/>
    <sheet name="Dashboard" sheetId="35" r:id="rId19"/>
    <sheet name="Glossaire" sheetId="38" r:id="rId20"/>
    <sheet name="Paramètres" sheetId="40" r:id="rId21"/>
  </sheets>
  <definedNames>
    <definedName name="_xlnm._FilterDatabase" localSheetId="14" hidden="1">'Liste des actions'!$A$5:$Q$54</definedName>
    <definedName name="Affiche_Semaine" localSheetId="13">#REF!</definedName>
    <definedName name="Affiche_Semaine" localSheetId="6">#REF!</definedName>
    <definedName name="Affiche_Semaine" localSheetId="7">#REF!</definedName>
    <definedName name="Affiche_Semaine" localSheetId="18">#REF!</definedName>
    <definedName name="Affiche_Semaine" localSheetId="0">#REF!</definedName>
    <definedName name="Affiche_Semaine" localSheetId="14">#REF!</definedName>
    <definedName name="Affiche_Semaine" localSheetId="12">#REF!</definedName>
    <definedName name="Affiche_Semaine" localSheetId="3">#REF!</definedName>
    <definedName name="Affiche_Semaine" localSheetId="20">#REF!</definedName>
    <definedName name="Affiche_Semaine" localSheetId="11">#REF!</definedName>
    <definedName name="Affiche_Semaine" localSheetId="15">#REF!</definedName>
    <definedName name="Affiche_Semaine" localSheetId="2">#REF!</definedName>
    <definedName name="Affiche_Semaine">#REF!</definedName>
    <definedName name="asd" localSheetId="13">#REF!</definedName>
    <definedName name="asd" localSheetId="6">#REF!</definedName>
    <definedName name="asd" localSheetId="7">#REF!</definedName>
    <definedName name="asd" localSheetId="18">#REF!</definedName>
    <definedName name="asd" localSheetId="0">#REF!</definedName>
    <definedName name="asd" localSheetId="14">#REF!</definedName>
    <definedName name="asd" localSheetId="12">#REF!</definedName>
    <definedName name="asd" localSheetId="3">#REF!</definedName>
    <definedName name="asd" localSheetId="20">#REF!</definedName>
    <definedName name="asd" localSheetId="11">#REF!</definedName>
    <definedName name="asd" localSheetId="15">#REF!</definedName>
    <definedName name="asd">#REF!</definedName>
    <definedName name="bis" localSheetId="13">#REF!</definedName>
    <definedName name="bis" localSheetId="6">#REF!</definedName>
    <definedName name="bis" localSheetId="7">#REF!</definedName>
    <definedName name="bis" localSheetId="18">#REF!</definedName>
    <definedName name="bis" localSheetId="0">#REF!</definedName>
    <definedName name="bis" localSheetId="14">#REF!</definedName>
    <definedName name="bis" localSheetId="12">#REF!</definedName>
    <definedName name="bis" localSheetId="3">#REF!</definedName>
    <definedName name="bis" localSheetId="20">#REF!</definedName>
    <definedName name="bis" localSheetId="11">#REF!</definedName>
    <definedName name="bis" localSheetId="15">#REF!</definedName>
    <definedName name="bis">#REF!</definedName>
    <definedName name="BN" localSheetId="13">#REF!</definedName>
    <definedName name="BN" localSheetId="0">#REF!</definedName>
    <definedName name="BN" localSheetId="14">#REF!</definedName>
    <definedName name="BN" localSheetId="12">#REF!</definedName>
    <definedName name="BN" localSheetId="3">#REF!</definedName>
    <definedName name="BN" localSheetId="20">#REF!</definedName>
    <definedName name="BN" localSheetId="11">#REF!</definedName>
    <definedName name="BN" localSheetId="15">#REF!</definedName>
    <definedName name="BN">#REF!</definedName>
    <definedName name="CjmDuProjet" localSheetId="13">#REF!</definedName>
    <definedName name="CjmDuProjet" localSheetId="6">#REF!</definedName>
    <definedName name="CjmDuProjet" localSheetId="7">#REF!</definedName>
    <definedName name="CjmDuProjet" localSheetId="18">#REF!</definedName>
    <definedName name="CjmDuProjet" localSheetId="0">#REF!</definedName>
    <definedName name="CjmDuProjet" localSheetId="14">#REF!</definedName>
    <definedName name="CjmDuProjet" localSheetId="12">#REF!</definedName>
    <definedName name="CjmDuProjet" localSheetId="3">#REF!</definedName>
    <definedName name="CjmDuProjet" localSheetId="20">#REF!</definedName>
    <definedName name="CjmDuProjet" localSheetId="11">#REF!</definedName>
    <definedName name="CjmDuProjet" localSheetId="15">#REF!</definedName>
    <definedName name="CjmDuProjet" localSheetId="2">#REF!</definedName>
    <definedName name="CjmDuProjet">#REF!</definedName>
    <definedName name="Direction" localSheetId="13">#REF!</definedName>
    <definedName name="Direction" localSheetId="6">#REF!</definedName>
    <definedName name="Direction" localSheetId="7">#REF!</definedName>
    <definedName name="Direction" localSheetId="18">#REF!</definedName>
    <definedName name="Direction" localSheetId="0">#REF!</definedName>
    <definedName name="Direction" localSheetId="14">#REF!</definedName>
    <definedName name="Direction" localSheetId="12">#REF!</definedName>
    <definedName name="Direction" localSheetId="3">#REF!</definedName>
    <definedName name="Direction" localSheetId="20">#REF!</definedName>
    <definedName name="Direction" localSheetId="11">#REF!</definedName>
    <definedName name="Direction" localSheetId="15">#REF!</definedName>
    <definedName name="Direction">#REF!</definedName>
    <definedName name="Display_Week" localSheetId="13">#REF!</definedName>
    <definedName name="Display_Week" localSheetId="6">#REF!</definedName>
    <definedName name="Display_Week" localSheetId="7">#REF!</definedName>
    <definedName name="Display_Week" localSheetId="18">#REF!</definedName>
    <definedName name="Display_Week" localSheetId="0">#REF!</definedName>
    <definedName name="Display_Week" localSheetId="14">#REF!</definedName>
    <definedName name="Display_Week" localSheetId="12">#REF!</definedName>
    <definedName name="Display_Week" localSheetId="3">#REF!</definedName>
    <definedName name="Display_Week" localSheetId="20">#REF!</definedName>
    <definedName name="Display_Week" localSheetId="11">#REF!</definedName>
    <definedName name="Display_Week" localSheetId="15">#REF!</definedName>
    <definedName name="Display_Week" localSheetId="2">#REF!</definedName>
    <definedName name="Display_Week">#REF!</definedName>
    <definedName name="effort" localSheetId="13">#REF!</definedName>
    <definedName name="effort" localSheetId="6">#REF!</definedName>
    <definedName name="effort" localSheetId="7">#REF!</definedName>
    <definedName name="effort" localSheetId="18">#REF!</definedName>
    <definedName name="effort" localSheetId="0">#REF!</definedName>
    <definedName name="effort" localSheetId="14">#REF!</definedName>
    <definedName name="effort" localSheetId="12">#REF!</definedName>
    <definedName name="effort" localSheetId="3">#REF!</definedName>
    <definedName name="effort" localSheetId="20">#REF!</definedName>
    <definedName name="effort" localSheetId="11">#REF!</definedName>
    <definedName name="effort" localSheetId="15">#REF!</definedName>
    <definedName name="effort">#REF!</definedName>
    <definedName name="Expatriation" localSheetId="13">#REF!</definedName>
    <definedName name="Expatriation" localSheetId="6">#REF!</definedName>
    <definedName name="Expatriation" localSheetId="7">#REF!</definedName>
    <definedName name="Expatriation" localSheetId="18">#REF!</definedName>
    <definedName name="Expatriation" localSheetId="0">#REF!</definedName>
    <definedName name="Expatriation" localSheetId="14">#REF!</definedName>
    <definedName name="Expatriation" localSheetId="12">#REF!</definedName>
    <definedName name="Expatriation" localSheetId="3">#REF!</definedName>
    <definedName name="Expatriation" localSheetId="20">#REF!</definedName>
    <definedName name="Expatriation" localSheetId="11">#REF!</definedName>
    <definedName name="Expatriation" localSheetId="15">#REF!</definedName>
    <definedName name="Expatriation">#REF!</definedName>
    <definedName name="FD" localSheetId="13">#REF!</definedName>
    <definedName name="FD" localSheetId="6">#REF!</definedName>
    <definedName name="FD" localSheetId="7">#REF!</definedName>
    <definedName name="FD" localSheetId="18">#REF!</definedName>
    <definedName name="FD" localSheetId="0">#REF!</definedName>
    <definedName name="FD" localSheetId="14">#REF!</definedName>
    <definedName name="FD" localSheetId="12">#REF!</definedName>
    <definedName name="FD" localSheetId="3">#REF!</definedName>
    <definedName name="FD" localSheetId="20">#REF!</definedName>
    <definedName name="FD" localSheetId="11">#REF!</definedName>
    <definedName name="FD" localSheetId="15">#REF!</definedName>
    <definedName name="FD">#REF!</definedName>
    <definedName name="FG" localSheetId="13">#REF!</definedName>
    <definedName name="FG" localSheetId="6">#REF!</definedName>
    <definedName name="FG" localSheetId="7">#REF!</definedName>
    <definedName name="FG" localSheetId="18">#REF!</definedName>
    <definedName name="FG" localSheetId="0">#REF!</definedName>
    <definedName name="FG" localSheetId="14">#REF!</definedName>
    <definedName name="FG" localSheetId="12">#REF!</definedName>
    <definedName name="FG" localSheetId="3">#REF!</definedName>
    <definedName name="FG" localSheetId="20">#REF!</definedName>
    <definedName name="FG" localSheetId="11">#REF!</definedName>
    <definedName name="FG" localSheetId="15">#REF!</definedName>
    <definedName name="FG">#REF!</definedName>
    <definedName name="FGS" localSheetId="13">#REF!</definedName>
    <definedName name="FGS" localSheetId="6">#REF!</definedName>
    <definedName name="FGS" localSheetId="7">#REF!</definedName>
    <definedName name="FGS" localSheetId="18">#REF!</definedName>
    <definedName name="FGS" localSheetId="0">#REF!</definedName>
    <definedName name="FGS" localSheetId="14">#REF!</definedName>
    <definedName name="FGS" localSheetId="12">#REF!</definedName>
    <definedName name="FGS" localSheetId="3">#REF!</definedName>
    <definedName name="FGS" localSheetId="20">#REF!</definedName>
    <definedName name="FGS" localSheetId="11">#REF!</definedName>
    <definedName name="FGS" localSheetId="15">#REF!</definedName>
    <definedName name="FGS">#REF!</definedName>
    <definedName name="Fonction" localSheetId="13">#REF!</definedName>
    <definedName name="Fonction" localSheetId="6">#REF!</definedName>
    <definedName name="Fonction" localSheetId="7">#REF!</definedName>
    <definedName name="Fonction" localSheetId="18">#REF!</definedName>
    <definedName name="Fonction" localSheetId="0">#REF!</definedName>
    <definedName name="Fonction" localSheetId="14">#REF!</definedName>
    <definedName name="Fonction" localSheetId="12">#REF!</definedName>
    <definedName name="Fonction" localSheetId="3">#REF!</definedName>
    <definedName name="Fonction" localSheetId="20">#REF!</definedName>
    <definedName name="Fonction" localSheetId="11">#REF!</definedName>
    <definedName name="Fonction" localSheetId="15">#REF!</definedName>
    <definedName name="Fonction">#REF!</definedName>
    <definedName name="gfq" localSheetId="13">#REF!</definedName>
    <definedName name="gfq" localSheetId="6">#REF!</definedName>
    <definedName name="gfq" localSheetId="7">#REF!</definedName>
    <definedName name="gfq" localSheetId="18">#REF!</definedName>
    <definedName name="gfq" localSheetId="0">#REF!</definedName>
    <definedName name="gfq" localSheetId="14">#REF!</definedName>
    <definedName name="gfq" localSheetId="12">#REF!</definedName>
    <definedName name="gfq" localSheetId="3">#REF!</definedName>
    <definedName name="gfq" localSheetId="20">#REF!</definedName>
    <definedName name="gfq" localSheetId="11">#REF!</definedName>
    <definedName name="gfq" localSheetId="15">#REF!</definedName>
    <definedName name="gfq">#REF!</definedName>
    <definedName name="jhk" localSheetId="13">#REF!</definedName>
    <definedName name="jhk" localSheetId="6">#REF!</definedName>
    <definedName name="jhk" localSheetId="7">#REF!</definedName>
    <definedName name="jhk" localSheetId="18">#REF!</definedName>
    <definedName name="jhk" localSheetId="0">#REF!</definedName>
    <definedName name="jhk" localSheetId="14">#REF!</definedName>
    <definedName name="jhk" localSheetId="12">#REF!</definedName>
    <definedName name="jhk" localSheetId="3">#REF!</definedName>
    <definedName name="jhk" localSheetId="20">#REF!</definedName>
    <definedName name="jhk" localSheetId="11">#REF!</definedName>
    <definedName name="jhk" localSheetId="15">#REF!</definedName>
    <definedName name="jhk">#REF!</definedName>
    <definedName name="Marge" localSheetId="13">#REF!</definedName>
    <definedName name="Marge" localSheetId="6">#REF!</definedName>
    <definedName name="Marge" localSheetId="7">#REF!</definedName>
    <definedName name="Marge" localSheetId="18">#REF!</definedName>
    <definedName name="Marge" localSheetId="0">#REF!</definedName>
    <definedName name="Marge" localSheetId="14">#REF!</definedName>
    <definedName name="Marge" localSheetId="12">#REF!</definedName>
    <definedName name="Marge" localSheetId="3">#REF!</definedName>
    <definedName name="Marge" localSheetId="20">#REF!</definedName>
    <definedName name="Marge" localSheetId="11">#REF!</definedName>
    <definedName name="Marge" localSheetId="15">#REF!</definedName>
    <definedName name="Marge">#REF!</definedName>
    <definedName name="MontantContrat" localSheetId="13">#REF!</definedName>
    <definedName name="MontantContrat" localSheetId="6">#REF!</definedName>
    <definedName name="MontantContrat" localSheetId="7">#REF!</definedName>
    <definedName name="MontantContrat" localSheetId="18">#REF!</definedName>
    <definedName name="MontantContrat" localSheetId="0">#REF!</definedName>
    <definedName name="MontantContrat" localSheetId="14">#REF!</definedName>
    <definedName name="MontantContrat" localSheetId="12">#REF!</definedName>
    <definedName name="MontantContrat" localSheetId="3">#REF!</definedName>
    <definedName name="MontantContrat" localSheetId="20">#REF!</definedName>
    <definedName name="MontantContrat" localSheetId="11">#REF!</definedName>
    <definedName name="MontantContrat" localSheetId="15">#REF!</definedName>
    <definedName name="MontantContrat" localSheetId="2">#REF!</definedName>
    <definedName name="MontantContrat">#REF!</definedName>
    <definedName name="n">#REF!</definedName>
    <definedName name="Nbjours" localSheetId="13">#REF!</definedName>
    <definedName name="Nbjours" localSheetId="6">#REF!</definedName>
    <definedName name="Nbjours" localSheetId="7">#REF!</definedName>
    <definedName name="Nbjours" localSheetId="18">#REF!</definedName>
    <definedName name="Nbjours" localSheetId="0">#REF!</definedName>
    <definedName name="Nbjours" localSheetId="14">#REF!</definedName>
    <definedName name="Nbjours" localSheetId="12">#REF!</definedName>
    <definedName name="Nbjours" localSheetId="3">#REF!</definedName>
    <definedName name="Nbjours" localSheetId="20">#REF!</definedName>
    <definedName name="Nbjours" localSheetId="11">#REF!</definedName>
    <definedName name="Nbjours" localSheetId="15">#REF!</definedName>
    <definedName name="Nbjours">#REF!</definedName>
    <definedName name="NbMaxPeriodes" localSheetId="13">#REF!</definedName>
    <definedName name="NbMaxPeriodes" localSheetId="6">#REF!</definedName>
    <definedName name="NbMaxPeriodes" localSheetId="7">#REF!</definedName>
    <definedName name="NbMaxPeriodes" localSheetId="18">#REF!</definedName>
    <definedName name="NbMaxPeriodes" localSheetId="0">#REF!</definedName>
    <definedName name="NbMaxPeriodes" localSheetId="14">#REF!</definedName>
    <definedName name="NbMaxPeriodes" localSheetId="12">#REF!</definedName>
    <definedName name="NbMaxPeriodes" localSheetId="3">#REF!</definedName>
    <definedName name="NbMaxPeriodes" localSheetId="20">#REF!</definedName>
    <definedName name="NbMaxPeriodes" localSheetId="11">#REF!</definedName>
    <definedName name="NbMaxPeriodes" localSheetId="15">#REF!</definedName>
    <definedName name="NbMaxPeriodes" localSheetId="2">#REF!</definedName>
    <definedName name="NbMaxPeriodes">#REF!</definedName>
    <definedName name="NOTE" localSheetId="13">#REF!</definedName>
    <definedName name="NOTE" localSheetId="0">#REF!</definedName>
    <definedName name="NOTE" localSheetId="14">#REF!</definedName>
    <definedName name="NOTE" localSheetId="12">#REF!</definedName>
    <definedName name="NOTE" localSheetId="3">#REF!</definedName>
    <definedName name="NOTE" localSheetId="20">#REF!</definedName>
    <definedName name="NOTE" localSheetId="11">#REF!</definedName>
    <definedName name="NOTE" localSheetId="15">#REF!</definedName>
    <definedName name="NOTE">#REF!</definedName>
    <definedName name="PeriodeEnCours" localSheetId="13">#REF!</definedName>
    <definedName name="PeriodeEnCours" localSheetId="6">#REF!</definedName>
    <definedName name="PeriodeEnCours" localSheetId="7">#REF!</definedName>
    <definedName name="PeriodeEnCours" localSheetId="18">#REF!</definedName>
    <definedName name="PeriodeEnCours" localSheetId="0">#REF!</definedName>
    <definedName name="PeriodeEnCours" localSheetId="14">#REF!</definedName>
    <definedName name="PeriodeEnCours" localSheetId="12">#REF!</definedName>
    <definedName name="PeriodeEnCours" localSheetId="3">#REF!</definedName>
    <definedName name="PeriodeEnCours" localSheetId="20">#REF!</definedName>
    <definedName name="PeriodeEnCours" localSheetId="11">#REF!</definedName>
    <definedName name="PeriodeEnCours" localSheetId="15">#REF!</definedName>
    <definedName name="PeriodeEnCours" localSheetId="2">#REF!</definedName>
    <definedName name="PeriodeEnCours">#REF!</definedName>
    <definedName name="_xlnm.Print_Area" localSheetId="14">'Liste des actions'!$A$3:$Q$5</definedName>
    <definedName name="_xlnm.Print_Area" localSheetId="20">Paramètres!$C$1:$I$36</definedName>
    <definedName name="_xlnm.Print_Titles" localSheetId="14">'Liste des actions'!$3:$5</definedName>
    <definedName name="Profil" localSheetId="13">#REF!</definedName>
    <definedName name="Profil" localSheetId="6">#REF!</definedName>
    <definedName name="Profil" localSheetId="7">#REF!</definedName>
    <definedName name="Profil" localSheetId="18">#REF!</definedName>
    <definedName name="Profil" localSheetId="0">#REF!</definedName>
    <definedName name="Profil" localSheetId="14">#REF!</definedName>
    <definedName name="Profil" localSheetId="12">#REF!</definedName>
    <definedName name="Profil" localSheetId="3">#REF!</definedName>
    <definedName name="Profil" localSheetId="20">#REF!</definedName>
    <definedName name="Profil" localSheetId="11">#REF!</definedName>
    <definedName name="Profil" localSheetId="15">#REF!</definedName>
    <definedName name="Profil">#REF!</definedName>
    <definedName name="Project_Start" localSheetId="13">#REF!</definedName>
    <definedName name="Project_Start" localSheetId="6">#REF!</definedName>
    <definedName name="Project_Start" localSheetId="7">#REF!</definedName>
    <definedName name="Project_Start" localSheetId="18">#REF!</definedName>
    <definedName name="Project_Start" localSheetId="0">#REF!</definedName>
    <definedName name="Project_Start" localSheetId="14">#REF!</definedName>
    <definedName name="Project_Start" localSheetId="12">#REF!</definedName>
    <definedName name="Project_Start" localSheetId="3">#REF!</definedName>
    <definedName name="Project_Start" localSheetId="20">#REF!</definedName>
    <definedName name="Project_Start" localSheetId="11">#REF!</definedName>
    <definedName name="Project_Start" localSheetId="15">#REF!</definedName>
    <definedName name="Project_Start" localSheetId="2">#REF!</definedName>
    <definedName name="Project_Start">#REF!</definedName>
    <definedName name="Project_Start_Date" localSheetId="13">#REF!</definedName>
    <definedName name="Project_Start_Date" localSheetId="6">#REF!</definedName>
    <definedName name="Project_Start_Date" localSheetId="7">#REF!</definedName>
    <definedName name="Project_Start_Date" localSheetId="18">#REF!</definedName>
    <definedName name="Project_Start_Date" localSheetId="0">#REF!</definedName>
    <definedName name="Project_Start_Date" localSheetId="14">#REF!</definedName>
    <definedName name="Project_Start_Date" localSheetId="12">#REF!</definedName>
    <definedName name="Project_Start_Date" localSheetId="3">#REF!</definedName>
    <definedName name="Project_Start_Date" localSheetId="20">#REF!</definedName>
    <definedName name="Project_Start_Date" localSheetId="11">#REF!</definedName>
    <definedName name="Project_Start_Date" localSheetId="15">#REF!</definedName>
    <definedName name="Project_Start_Date" localSheetId="2">#REF!</definedName>
    <definedName name="Project_Start_Date">#REF!</definedName>
    <definedName name="ProvPenalitesEuros" localSheetId="13">#REF!</definedName>
    <definedName name="ProvPenalitesEuros" localSheetId="6">#REF!</definedName>
    <definedName name="ProvPenalitesEuros" localSheetId="7">#REF!</definedName>
    <definedName name="ProvPenalitesEuros" localSheetId="18">#REF!</definedName>
    <definedName name="ProvPenalitesEuros" localSheetId="0">#REF!</definedName>
    <definedName name="ProvPenalitesEuros" localSheetId="14">#REF!</definedName>
    <definedName name="ProvPenalitesEuros" localSheetId="12">#REF!</definedName>
    <definedName name="ProvPenalitesEuros" localSheetId="3">#REF!</definedName>
    <definedName name="ProvPenalitesEuros" localSheetId="20">#REF!</definedName>
    <definedName name="ProvPenalitesEuros" localSheetId="11">#REF!</definedName>
    <definedName name="ProvPenalitesEuros" localSheetId="15">#REF!</definedName>
    <definedName name="ProvPenalitesEuros" localSheetId="2">#REF!</definedName>
    <definedName name="ProvPenalitesEuros">#REF!</definedName>
    <definedName name="ProvRisquesEuros" localSheetId="13">#REF!</definedName>
    <definedName name="ProvRisquesEuros" localSheetId="6">#REF!</definedName>
    <definedName name="ProvRisquesEuros" localSheetId="7">#REF!</definedName>
    <definedName name="ProvRisquesEuros" localSheetId="18">#REF!</definedName>
    <definedName name="ProvRisquesEuros" localSheetId="0">#REF!</definedName>
    <definedName name="ProvRisquesEuros" localSheetId="14">#REF!</definedName>
    <definedName name="ProvRisquesEuros" localSheetId="12">#REF!</definedName>
    <definedName name="ProvRisquesEuros" localSheetId="3">#REF!</definedName>
    <definedName name="ProvRisquesEuros" localSheetId="20">#REF!</definedName>
    <definedName name="ProvRisquesEuros" localSheetId="11">#REF!</definedName>
    <definedName name="ProvRisquesEuros" localSheetId="15">#REF!</definedName>
    <definedName name="ProvRisquesEuros" localSheetId="2">#REF!</definedName>
    <definedName name="ProvRisquesEuros">#REF!</definedName>
    <definedName name="qsdf" localSheetId="13">#REF!</definedName>
    <definedName name="qsdf" localSheetId="6">#REF!</definedName>
    <definedName name="qsdf" localSheetId="7">#REF!</definedName>
    <definedName name="qsdf" localSheetId="18">#REF!</definedName>
    <definedName name="qsdf" localSheetId="0">#REF!</definedName>
    <definedName name="qsdf" localSheetId="14">#REF!</definedName>
    <definedName name="qsdf" localSheetId="12">#REF!</definedName>
    <definedName name="qsdf" localSheetId="3">#REF!</definedName>
    <definedName name="qsdf" localSheetId="20">#REF!</definedName>
    <definedName name="qsdf" localSheetId="11">#REF!</definedName>
    <definedName name="qsdf" localSheetId="15">#REF!</definedName>
    <definedName name="qsdf">#REF!</definedName>
    <definedName name="Rabais" localSheetId="13">#REF!</definedName>
    <definedName name="Rabais" localSheetId="6">#REF!</definedName>
    <definedName name="Rabais" localSheetId="7">#REF!</definedName>
    <definedName name="Rabais" localSheetId="18">#REF!</definedName>
    <definedName name="Rabais" localSheetId="0">#REF!</definedName>
    <definedName name="Rabais" localSheetId="14">#REF!</definedName>
    <definedName name="Rabais" localSheetId="12">#REF!</definedName>
    <definedName name="Rabais" localSheetId="3">#REF!</definedName>
    <definedName name="Rabais" localSheetId="20">#REF!</definedName>
    <definedName name="Rabais" localSheetId="11">#REF!</definedName>
    <definedName name="Rabais" localSheetId="15">#REF!</definedName>
    <definedName name="Rabais">#REF!</definedName>
    <definedName name="Scrolling_Increment" localSheetId="13">#REF!</definedName>
    <definedName name="Scrolling_Increment" localSheetId="18">#REF!</definedName>
    <definedName name="Scrolling_Increment" localSheetId="0">#REF!</definedName>
    <definedName name="Scrolling_Increment" localSheetId="14">#REF!</definedName>
    <definedName name="Scrolling_Increment" localSheetId="12">#REF!</definedName>
    <definedName name="Scrolling_Increment" localSheetId="3">#REF!</definedName>
    <definedName name="Scrolling_Increment" localSheetId="20">#REF!</definedName>
    <definedName name="Scrolling_Increment" localSheetId="11">#REF!</definedName>
    <definedName name="Scrolling_Increment" localSheetId="15">#REF!</definedName>
    <definedName name="Scrolling_Increment">#REF!</definedName>
    <definedName name="sd" localSheetId="13">#REF!</definedName>
    <definedName name="sd" localSheetId="6">#REF!</definedName>
    <definedName name="sd" localSheetId="7">#REF!</definedName>
    <definedName name="sd" localSheetId="18">#REF!</definedName>
    <definedName name="sd" localSheetId="0">#REF!</definedName>
    <definedName name="sd" localSheetId="14">#REF!</definedName>
    <definedName name="sd" localSheetId="12">#REF!</definedName>
    <definedName name="sd" localSheetId="3">#REF!</definedName>
    <definedName name="sd" localSheetId="20">#REF!</definedName>
    <definedName name="sd" localSheetId="11">#REF!</definedName>
    <definedName name="sd" localSheetId="15">#REF!</definedName>
    <definedName name="sd">#REF!</definedName>
    <definedName name="somme" localSheetId="13">#REF!</definedName>
    <definedName name="somme" localSheetId="6">#REF!</definedName>
    <definedName name="somme" localSheetId="7">#REF!</definedName>
    <definedName name="somme" localSheetId="18">#REF!</definedName>
    <definedName name="somme" localSheetId="0">#REF!</definedName>
    <definedName name="somme" localSheetId="14">#REF!</definedName>
    <definedName name="somme" localSheetId="12">#REF!</definedName>
    <definedName name="somme" localSheetId="3">#REF!</definedName>
    <definedName name="somme" localSheetId="20">#REF!</definedName>
    <definedName name="somme" localSheetId="11">#REF!</definedName>
    <definedName name="somme" localSheetId="15">#REF!</definedName>
    <definedName name="somme">#REF!</definedName>
    <definedName name="sqf" localSheetId="13">#REF!</definedName>
    <definedName name="sqf" localSheetId="6">#REF!</definedName>
    <definedName name="sqf" localSheetId="7">#REF!</definedName>
    <definedName name="sqf" localSheetId="18">#REF!</definedName>
    <definedName name="sqf" localSheetId="0">#REF!</definedName>
    <definedName name="sqf" localSheetId="14">#REF!</definedName>
    <definedName name="sqf" localSheetId="12">#REF!</definedName>
    <definedName name="sqf" localSheetId="3">#REF!</definedName>
    <definedName name="sqf" localSheetId="20">#REF!</definedName>
    <definedName name="sqf" localSheetId="11">#REF!</definedName>
    <definedName name="sqf" localSheetId="15">#REF!</definedName>
    <definedName name="sqf">#REF!</definedName>
    <definedName name="StatutAAfficher" localSheetId="13">#REF!</definedName>
    <definedName name="StatutAAfficher" localSheetId="6">#REF!</definedName>
    <definedName name="StatutAAfficher" localSheetId="7">#REF!</definedName>
    <definedName name="StatutAAfficher" localSheetId="18">#REF!</definedName>
    <definedName name="StatutAAfficher" localSheetId="0">#REF!</definedName>
    <definedName name="StatutAAfficher" localSheetId="14">#REF!</definedName>
    <definedName name="StatutAAfficher" localSheetId="12">#REF!</definedName>
    <definedName name="StatutAAfficher" localSheetId="3">#REF!</definedName>
    <definedName name="StatutAAfficher" localSheetId="20">#REF!</definedName>
    <definedName name="StatutAAfficher" localSheetId="11">#REF!</definedName>
    <definedName name="StatutAAfficher" localSheetId="15">#REF!</definedName>
    <definedName name="StatutAAfficher" localSheetId="2">#REF!</definedName>
    <definedName name="StatutAAfficher">#REF!</definedName>
    <definedName name="Taux" localSheetId="13">#REF!</definedName>
    <definedName name="Taux" localSheetId="6">#REF!</definedName>
    <definedName name="Taux" localSheetId="7">#REF!</definedName>
    <definedName name="Taux" localSheetId="18">#REF!</definedName>
    <definedName name="Taux" localSheetId="0">#REF!</definedName>
    <definedName name="Taux" localSheetId="14">#REF!</definedName>
    <definedName name="Taux" localSheetId="12">#REF!</definedName>
    <definedName name="Taux" localSheetId="3">#REF!</definedName>
    <definedName name="Taux" localSheetId="20">#REF!</definedName>
    <definedName name="Taux" localSheetId="11">#REF!</definedName>
    <definedName name="Taux" localSheetId="15">#REF!</definedName>
    <definedName name="Taux">#REF!</definedName>
    <definedName name="TT" localSheetId="13">#REF!</definedName>
    <definedName name="TT" localSheetId="6">#REF!</definedName>
    <definedName name="TT" localSheetId="7">#REF!</definedName>
    <definedName name="TT" localSheetId="18">#REF!</definedName>
    <definedName name="TT" localSheetId="0">#REF!</definedName>
    <definedName name="TT" localSheetId="14">#REF!</definedName>
    <definedName name="TT" localSheetId="12">#REF!</definedName>
    <definedName name="TT" localSheetId="3">#REF!</definedName>
    <definedName name="TT" localSheetId="20">#REF!</definedName>
    <definedName name="TT" localSheetId="11">#REF!</definedName>
    <definedName name="TT" localSheetId="15">#REF!</definedName>
    <definedName name="TT">#REF!</definedName>
    <definedName name="TVA" localSheetId="13">#REF!</definedName>
    <definedName name="TVA" localSheetId="6">#REF!</definedName>
    <definedName name="TVA" localSheetId="7">#REF!</definedName>
    <definedName name="TVA" localSheetId="18">#REF!</definedName>
    <definedName name="TVA" localSheetId="0">#REF!</definedName>
    <definedName name="TVA" localSheetId="14">#REF!</definedName>
    <definedName name="TVA" localSheetId="12">#REF!</definedName>
    <definedName name="TVA" localSheetId="3">#REF!</definedName>
    <definedName name="TVA" localSheetId="20">#REF!</definedName>
    <definedName name="TVA" localSheetId="11">#REF!</definedName>
    <definedName name="TVA" localSheetId="15">#REF!</definedName>
    <definedName name="TVA">#REF!</definedName>
    <definedName name="Types" localSheetId="13">OFFSET(#REF!,0,0,COUNTA(#REF!),1)</definedName>
    <definedName name="Types" localSheetId="0">OFFSET(#REF!,0,0,COUNTA(#REF!),1)</definedName>
    <definedName name="Types" localSheetId="14">OFFSET(#REF!,0,0,COUNTA(#REF!),1)</definedName>
    <definedName name="Types" localSheetId="12">OFFSET(#REF!,0,0,COUNTA(#REF!),1)</definedName>
    <definedName name="Types" localSheetId="3">OFFSET(#REF!,0,0,COUNTA(#REF!),1)</definedName>
    <definedName name="Types" localSheetId="20">OFFSET(#REF!,0,0,COUNTA(#REF!),1)</definedName>
    <definedName name="Types" localSheetId="11">OFFSET(#REF!,0,0,COUNTA(#REF!),1)</definedName>
    <definedName name="Types" localSheetId="15">OFFSET(#REF!,0,0,COUNTA(#REF!),1)</definedName>
    <definedName name="Types">OFFSET(#REF!,0,0,COUNTA(#REF!),1)</definedName>
    <definedName name="uyjhk" localSheetId="13">#REF!</definedName>
    <definedName name="uyjhk" localSheetId="6">#REF!</definedName>
    <definedName name="uyjhk" localSheetId="7">#REF!</definedName>
    <definedName name="uyjhk" localSheetId="18">#REF!</definedName>
    <definedName name="uyjhk" localSheetId="0">#REF!</definedName>
    <definedName name="uyjhk" localSheetId="14">#REF!</definedName>
    <definedName name="uyjhk" localSheetId="12">#REF!</definedName>
    <definedName name="uyjhk" localSheetId="3">#REF!</definedName>
    <definedName name="uyjhk" localSheetId="20">#REF!</definedName>
    <definedName name="uyjhk" localSheetId="11">#REF!</definedName>
    <definedName name="uyjhk" localSheetId="15">#REF!</definedName>
    <definedName name="uyjhk">#REF!</definedName>
    <definedName name="Walid" localSheetId="13">#REF!</definedName>
    <definedName name="Walid" localSheetId="6">#REF!</definedName>
    <definedName name="Walid" localSheetId="7">#REF!</definedName>
    <definedName name="Walid" localSheetId="18">#REF!</definedName>
    <definedName name="Walid" localSheetId="0">#REF!</definedName>
    <definedName name="Walid" localSheetId="14">#REF!</definedName>
    <definedName name="Walid" localSheetId="12">#REF!</definedName>
    <definedName name="Walid" localSheetId="3">#REF!</definedName>
    <definedName name="Walid" localSheetId="20">#REF!</definedName>
    <definedName name="Walid" localSheetId="11">#REF!</definedName>
    <definedName name="Walid" localSheetId="15">#REF!</definedName>
    <definedName name="Walid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49" l="1"/>
  <c r="E21" i="49"/>
  <c r="E22" i="49"/>
  <c r="E23" i="49"/>
  <c r="E24" i="49"/>
  <c r="E20" i="49"/>
  <c r="X24" i="30"/>
  <c r="X9" i="30"/>
  <c r="X18" i="30"/>
  <c r="W16" i="30"/>
  <c r="W13" i="30"/>
  <c r="W12" i="30"/>
  <c r="V18" i="30"/>
  <c r="V12" i="30"/>
  <c r="E27" i="49" l="1"/>
  <c r="F27" i="49" s="1"/>
  <c r="F16" i="27"/>
  <c r="V13" i="30"/>
  <c r="F80" i="46"/>
  <c r="F81" i="46" s="1"/>
  <c r="U18" i="30"/>
  <c r="U12" i="30"/>
  <c r="H14" i="27"/>
  <c r="G80" i="46"/>
  <c r="G81" i="46"/>
  <c r="G83" i="46"/>
  <c r="G84" i="46"/>
  <c r="G85" i="46"/>
  <c r="G79" i="46"/>
  <c r="C14" i="37"/>
  <c r="D7" i="37"/>
  <c r="E7" i="37"/>
  <c r="F7" i="37"/>
  <c r="G7" i="37"/>
  <c r="H7" i="37"/>
  <c r="I7" i="37"/>
  <c r="J7" i="37"/>
  <c r="K7" i="37"/>
  <c r="L7" i="37"/>
  <c r="M7" i="37"/>
  <c r="N7" i="37"/>
  <c r="O7" i="37"/>
  <c r="P7" i="37"/>
  <c r="Q7" i="37"/>
  <c r="R7" i="37"/>
  <c r="S7" i="37"/>
  <c r="T7" i="37"/>
  <c r="U7" i="37"/>
  <c r="V7" i="37"/>
  <c r="W7" i="37"/>
  <c r="X7" i="37"/>
  <c r="Y7" i="37"/>
  <c r="Z7" i="37"/>
  <c r="AA7" i="37"/>
  <c r="C7" i="37"/>
  <c r="D23" i="31"/>
  <c r="T18" i="30"/>
  <c r="T12" i="30"/>
  <c r="T11" i="30"/>
  <c r="N3" i="49"/>
  <c r="I22" i="49"/>
  <c r="J22" i="49" s="1"/>
  <c r="I21" i="49"/>
  <c r="J21" i="49" s="1"/>
  <c r="I20" i="49"/>
  <c r="J20" i="49" s="1"/>
  <c r="L3" i="27" l="1"/>
  <c r="J23" i="49"/>
  <c r="H13" i="27" l="1"/>
  <c r="I4" i="27" l="1"/>
  <c r="H11" i="27"/>
  <c r="D83" i="46"/>
  <c r="D84" i="46" s="1"/>
  <c r="D85" i="46" s="1"/>
  <c r="T21" i="30"/>
  <c r="S9" i="30"/>
  <c r="S13" i="30"/>
  <c r="R16" i="30"/>
  <c r="R9" i="30"/>
  <c r="R12" i="30"/>
  <c r="Q16" i="30"/>
  <c r="P16" i="30"/>
  <c r="O13" i="30"/>
  <c r="P13" i="30"/>
  <c r="P18" i="30"/>
  <c r="P12" i="30"/>
  <c r="O12" i="30"/>
  <c r="O14" i="30"/>
  <c r="G12" i="27"/>
  <c r="H12" i="27"/>
  <c r="Q7" i="27" l="1"/>
  <c r="R7" i="27" s="1"/>
  <c r="R8" i="27" s="1"/>
  <c r="E7" i="25"/>
  <c r="E8" i="25"/>
  <c r="R31" i="30" s="1"/>
  <c r="E9" i="25"/>
  <c r="E10" i="25"/>
  <c r="E11" i="25"/>
  <c r="R34" i="30" s="1"/>
  <c r="E12" i="25"/>
  <c r="P35" i="30" s="1"/>
  <c r="E13" i="25"/>
  <c r="E14" i="25"/>
  <c r="E15" i="25"/>
  <c r="P38" i="30" s="1"/>
  <c r="E16" i="25"/>
  <c r="E17" i="25"/>
  <c r="P40" i="30" s="1"/>
  <c r="E18" i="25"/>
  <c r="E19" i="25"/>
  <c r="E20" i="25"/>
  <c r="T43" i="30" s="1"/>
  <c r="E21" i="25"/>
  <c r="E22" i="25"/>
  <c r="E23" i="25"/>
  <c r="E6" i="25"/>
  <c r="D24" i="25"/>
  <c r="Z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H8" i="27"/>
  <c r="H9" i="27"/>
  <c r="H10" i="27"/>
  <c r="H7" i="27"/>
  <c r="S31" i="30" l="1"/>
  <c r="P34" i="30"/>
  <c r="R37" i="30"/>
  <c r="S37" i="30"/>
  <c r="T37" i="30"/>
  <c r="V37" i="30"/>
  <c r="U37" i="30"/>
  <c r="W37" i="30"/>
  <c r="X37" i="30"/>
  <c r="Y37" i="30"/>
  <c r="P37" i="30"/>
  <c r="Z37" i="30"/>
  <c r="Q37" i="30"/>
  <c r="V45" i="30"/>
  <c r="W45" i="30"/>
  <c r="X45" i="30"/>
  <c r="Z45" i="30"/>
  <c r="U45" i="30"/>
  <c r="Y45" i="30"/>
  <c r="P45" i="30"/>
  <c r="T45" i="30"/>
  <c r="Q45" i="30"/>
  <c r="S45" i="30"/>
  <c r="R45" i="30"/>
  <c r="V36" i="31"/>
  <c r="V39" i="30"/>
  <c r="W39" i="30"/>
  <c r="X39" i="30"/>
  <c r="Z39" i="30"/>
  <c r="T39" i="30"/>
  <c r="Y39" i="30"/>
  <c r="S39" i="30"/>
  <c r="U39" i="30"/>
  <c r="Q39" i="30"/>
  <c r="R39" i="30"/>
  <c r="P39" i="30"/>
  <c r="T38" i="30"/>
  <c r="V38" i="30"/>
  <c r="Y38" i="30"/>
  <c r="U38" i="30"/>
  <c r="W38" i="30"/>
  <c r="X38" i="30"/>
  <c r="S38" i="30"/>
  <c r="Z38" i="30"/>
  <c r="T44" i="30"/>
  <c r="V44" i="30"/>
  <c r="P44" i="30"/>
  <c r="X44" i="30"/>
  <c r="Y44" i="30"/>
  <c r="U44" i="30"/>
  <c r="W44" i="30"/>
  <c r="S44" i="30"/>
  <c r="Z44" i="30"/>
  <c r="R44" i="30"/>
  <c r="Q44" i="30"/>
  <c r="Q38" i="31"/>
  <c r="Z41" i="30"/>
  <c r="X41" i="30"/>
  <c r="S41" i="30"/>
  <c r="Q41" i="30"/>
  <c r="R41" i="30"/>
  <c r="Y41" i="30"/>
  <c r="T41" i="30"/>
  <c r="U41" i="30"/>
  <c r="W41" i="30"/>
  <c r="V41" i="30"/>
  <c r="P41" i="30"/>
  <c r="X40" i="30"/>
  <c r="Y40" i="30"/>
  <c r="Q40" i="30"/>
  <c r="W40" i="30"/>
  <c r="Z40" i="30"/>
  <c r="V40" i="30"/>
  <c r="R40" i="30"/>
  <c r="S40" i="30"/>
  <c r="U40" i="30"/>
  <c r="T40" i="30"/>
  <c r="Q36" i="30"/>
  <c r="U36" i="30"/>
  <c r="Z36" i="30"/>
  <c r="R36" i="30"/>
  <c r="S36" i="30"/>
  <c r="T36" i="30"/>
  <c r="V36" i="30"/>
  <c r="P36" i="30"/>
  <c r="W36" i="30"/>
  <c r="X36" i="30"/>
  <c r="Y36" i="30"/>
  <c r="Z35" i="30"/>
  <c r="R35" i="30"/>
  <c r="Y35" i="30"/>
  <c r="Q35" i="30"/>
  <c r="X35" i="30"/>
  <c r="T35" i="30"/>
  <c r="W35" i="30"/>
  <c r="U35" i="30"/>
  <c r="V35" i="30"/>
  <c r="R43" i="30"/>
  <c r="S43" i="30"/>
  <c r="P43" i="30"/>
  <c r="U43" i="30"/>
  <c r="V43" i="30"/>
  <c r="W43" i="30"/>
  <c r="X43" i="30"/>
  <c r="Y43" i="30"/>
  <c r="Q43" i="30"/>
  <c r="Z43" i="30"/>
  <c r="U28" i="31"/>
  <c r="T31" i="30"/>
  <c r="V31" i="30"/>
  <c r="W31" i="30"/>
  <c r="U31" i="30"/>
  <c r="Q31" i="30"/>
  <c r="X31" i="30"/>
  <c r="P31" i="30"/>
  <c r="Y31" i="30"/>
  <c r="Z31" i="30"/>
  <c r="R38" i="30"/>
  <c r="Z29" i="30"/>
  <c r="S29" i="30"/>
  <c r="X29" i="30"/>
  <c r="Q29" i="30"/>
  <c r="R29" i="30"/>
  <c r="T29" i="30"/>
  <c r="Y29" i="30"/>
  <c r="U29" i="30"/>
  <c r="P29" i="30"/>
  <c r="V29" i="30"/>
  <c r="W29" i="30"/>
  <c r="S35" i="30"/>
  <c r="X46" i="30"/>
  <c r="Y46" i="30"/>
  <c r="P46" i="30"/>
  <c r="Q46" i="30"/>
  <c r="V46" i="30"/>
  <c r="Z46" i="30"/>
  <c r="W46" i="30"/>
  <c r="R46" i="30"/>
  <c r="U46" i="30"/>
  <c r="S46" i="30"/>
  <c r="T46" i="30"/>
  <c r="P31" i="31"/>
  <c r="X34" i="30"/>
  <c r="Z34" i="30"/>
  <c r="Y34" i="30"/>
  <c r="W34" i="30"/>
  <c r="Q34" i="30"/>
  <c r="S34" i="30"/>
  <c r="V34" i="30"/>
  <c r="T34" i="30"/>
  <c r="U34" i="30"/>
  <c r="Z30" i="31"/>
  <c r="V33" i="30"/>
  <c r="T33" i="30"/>
  <c r="U33" i="30"/>
  <c r="W33" i="30"/>
  <c r="X33" i="30"/>
  <c r="Y33" i="30"/>
  <c r="P33" i="30"/>
  <c r="Z33" i="30"/>
  <c r="Q33" i="30"/>
  <c r="R33" i="30"/>
  <c r="S33" i="30"/>
  <c r="O29" i="31"/>
  <c r="T32" i="30"/>
  <c r="U32" i="30"/>
  <c r="V32" i="30"/>
  <c r="Y32" i="30"/>
  <c r="W32" i="30"/>
  <c r="X32" i="30"/>
  <c r="Z32" i="30"/>
  <c r="R32" i="30"/>
  <c r="P32" i="30"/>
  <c r="S32" i="30"/>
  <c r="Q32" i="30"/>
  <c r="J11" i="27"/>
  <c r="J10" i="27"/>
  <c r="J9" i="27"/>
  <c r="J8" i="27"/>
  <c r="J7" i="27"/>
  <c r="J14" i="27"/>
  <c r="P42" i="30"/>
  <c r="R42" i="30"/>
  <c r="Q42" i="30"/>
  <c r="T42" i="30"/>
  <c r="S42" i="30"/>
  <c r="U42" i="30"/>
  <c r="V42" i="30"/>
  <c r="Y42" i="30"/>
  <c r="Z42" i="30"/>
  <c r="W42" i="30"/>
  <c r="X42" i="30"/>
  <c r="R30" i="30"/>
  <c r="Z30" i="30"/>
  <c r="Q30" i="30"/>
  <c r="S30" i="30"/>
  <c r="T30" i="30"/>
  <c r="U30" i="30"/>
  <c r="P30" i="30"/>
  <c r="V30" i="30"/>
  <c r="W30" i="30"/>
  <c r="X30" i="30"/>
  <c r="Y30" i="30"/>
  <c r="Q38" i="30"/>
  <c r="J13" i="27"/>
  <c r="V22" i="37" s="1"/>
  <c r="W22" i="37" s="1"/>
  <c r="X22" i="37" s="1"/>
  <c r="Y22" i="37" s="1"/>
  <c r="Z22" i="37" s="1"/>
  <c r="AA22" i="37" s="1"/>
  <c r="J12" i="27"/>
  <c r="Q26" i="31"/>
  <c r="N35" i="31"/>
  <c r="P35" i="31"/>
  <c r="Q35" i="31"/>
  <c r="R35" i="31"/>
  <c r="Z35" i="31"/>
  <c r="S34" i="31"/>
  <c r="P34" i="31"/>
  <c r="Q34" i="31"/>
  <c r="R34" i="31"/>
  <c r="U34" i="31"/>
  <c r="Z34" i="31"/>
  <c r="O33" i="31"/>
  <c r="N33" i="31"/>
  <c r="R33" i="31"/>
  <c r="S33" i="31"/>
  <c r="T33" i="31"/>
  <c r="U33" i="31"/>
  <c r="X32" i="31"/>
  <c r="P32" i="31"/>
  <c r="N27" i="31"/>
  <c r="P27" i="31"/>
  <c r="X27" i="31"/>
  <c r="Y27" i="31"/>
  <c r="Z27" i="31"/>
  <c r="M35" i="30"/>
  <c r="M35" i="31"/>
  <c r="T27" i="31"/>
  <c r="M34" i="31"/>
  <c r="U35" i="31"/>
  <c r="X34" i="31"/>
  <c r="N34" i="31"/>
  <c r="S27" i="31"/>
  <c r="R9" i="27"/>
  <c r="R10" i="27" s="1"/>
  <c r="R11" i="27" s="1"/>
  <c r="Y35" i="31"/>
  <c r="Y34" i="31"/>
  <c r="O35" i="30"/>
  <c r="M33" i="31"/>
  <c r="T35" i="31"/>
  <c r="W34" i="31"/>
  <c r="Z33" i="31"/>
  <c r="R27" i="31"/>
  <c r="U27" i="31"/>
  <c r="X35" i="31"/>
  <c r="O34" i="31"/>
  <c r="M27" i="31"/>
  <c r="S35" i="31"/>
  <c r="V34" i="31"/>
  <c r="V33" i="31"/>
  <c r="T28" i="31"/>
  <c r="Q27" i="31"/>
  <c r="N40" i="30"/>
  <c r="S37" i="31"/>
  <c r="T37" i="31"/>
  <c r="V37" i="31"/>
  <c r="U37" i="31"/>
  <c r="N37" i="31"/>
  <c r="O37" i="31"/>
  <c r="N38" i="31"/>
  <c r="V38" i="31"/>
  <c r="M38" i="31"/>
  <c r="O38" i="31"/>
  <c r="W38" i="31"/>
  <c r="Y38" i="31"/>
  <c r="P38" i="31"/>
  <c r="X38" i="31"/>
  <c r="N30" i="31"/>
  <c r="V30" i="31"/>
  <c r="M30" i="31"/>
  <c r="O30" i="31"/>
  <c r="W30" i="31"/>
  <c r="Q30" i="31"/>
  <c r="P30" i="31"/>
  <c r="X30" i="31"/>
  <c r="Y30" i="31"/>
  <c r="R38" i="31"/>
  <c r="P37" i="31"/>
  <c r="Q32" i="31"/>
  <c r="N31" i="31"/>
  <c r="X29" i="31"/>
  <c r="V26" i="31"/>
  <c r="M40" i="30"/>
  <c r="O44" i="30"/>
  <c r="N33" i="30"/>
  <c r="N29" i="30"/>
  <c r="O32" i="30"/>
  <c r="N37" i="30"/>
  <c r="O40" i="30"/>
  <c r="N45" i="30"/>
  <c r="M36" i="30"/>
  <c r="M44" i="30"/>
  <c r="R26" i="31"/>
  <c r="Z26" i="31"/>
  <c r="O29" i="30"/>
  <c r="N34" i="30"/>
  <c r="O37" i="30"/>
  <c r="N42" i="30"/>
  <c r="O45" i="30"/>
  <c r="M37" i="30"/>
  <c r="M45" i="30"/>
  <c r="S26" i="31"/>
  <c r="M26" i="31"/>
  <c r="M39" i="30"/>
  <c r="U26" i="31"/>
  <c r="N31" i="30"/>
  <c r="O34" i="30"/>
  <c r="N39" i="30"/>
  <c r="O42" i="30"/>
  <c r="M30" i="30"/>
  <c r="M38" i="30"/>
  <c r="M46" i="30"/>
  <c r="T26" i="31"/>
  <c r="O31" i="30"/>
  <c r="N36" i="30"/>
  <c r="O39" i="30"/>
  <c r="N44" i="30"/>
  <c r="M31" i="30"/>
  <c r="M29" i="30"/>
  <c r="P36" i="31"/>
  <c r="X36" i="31"/>
  <c r="Q36" i="31"/>
  <c r="Y36" i="31"/>
  <c r="S36" i="31"/>
  <c r="R36" i="31"/>
  <c r="Z36" i="31"/>
  <c r="P28" i="31"/>
  <c r="X28" i="31"/>
  <c r="Q28" i="31"/>
  <c r="Y28" i="31"/>
  <c r="R28" i="31"/>
  <c r="Z28" i="31"/>
  <c r="S28" i="31"/>
  <c r="M28" i="31"/>
  <c r="Z37" i="31"/>
  <c r="W36" i="31"/>
  <c r="X31" i="31"/>
  <c r="U30" i="31"/>
  <c r="R29" i="31"/>
  <c r="O28" i="31"/>
  <c r="P26" i="31"/>
  <c r="M34" i="30"/>
  <c r="O46" i="30"/>
  <c r="N35" i="30"/>
  <c r="O30" i="30"/>
  <c r="Y37" i="31"/>
  <c r="Z32" i="31"/>
  <c r="W31" i="31"/>
  <c r="T30" i="31"/>
  <c r="Q29" i="31"/>
  <c r="N28" i="31"/>
  <c r="O26" i="31"/>
  <c r="M33" i="30"/>
  <c r="N46" i="30"/>
  <c r="O41" i="30"/>
  <c r="N30" i="30"/>
  <c r="M29" i="31"/>
  <c r="M37" i="31"/>
  <c r="Z38" i="31"/>
  <c r="X37" i="31"/>
  <c r="U36" i="31"/>
  <c r="Y32" i="31"/>
  <c r="V31" i="31"/>
  <c r="S30" i="31"/>
  <c r="P29" i="31"/>
  <c r="N26" i="31"/>
  <c r="M32" i="30"/>
  <c r="N41" i="30"/>
  <c r="O36" i="30"/>
  <c r="W29" i="31"/>
  <c r="M36" i="31"/>
  <c r="U38" i="31"/>
  <c r="W37" i="31"/>
  <c r="T36" i="31"/>
  <c r="U31" i="31"/>
  <c r="R30" i="31"/>
  <c r="Y26" i="31"/>
  <c r="M43" i="30"/>
  <c r="O43" i="30"/>
  <c r="N32" i="30"/>
  <c r="S29" i="31"/>
  <c r="T29" i="31"/>
  <c r="U29" i="31"/>
  <c r="N29" i="31"/>
  <c r="V29" i="31"/>
  <c r="T32" i="31"/>
  <c r="U32" i="31"/>
  <c r="O32" i="31"/>
  <c r="N32" i="31"/>
  <c r="V32" i="31"/>
  <c r="M32" i="31"/>
  <c r="W32" i="31"/>
  <c r="T38" i="31"/>
  <c r="R37" i="31"/>
  <c r="O36" i="31"/>
  <c r="S32" i="31"/>
  <c r="Z29" i="31"/>
  <c r="W28" i="31"/>
  <c r="X26" i="31"/>
  <c r="M42" i="30"/>
  <c r="N43" i="30"/>
  <c r="O38" i="30"/>
  <c r="Q31" i="31"/>
  <c r="Y31" i="31"/>
  <c r="R31" i="31"/>
  <c r="Z31" i="31"/>
  <c r="M31" i="31"/>
  <c r="S31" i="31"/>
  <c r="T31" i="31"/>
  <c r="S38" i="31"/>
  <c r="Q37" i="31"/>
  <c r="N36" i="31"/>
  <c r="R32" i="31"/>
  <c r="O31" i="31"/>
  <c r="Y29" i="31"/>
  <c r="V28" i="31"/>
  <c r="W26" i="31"/>
  <c r="M41" i="30"/>
  <c r="N38" i="30"/>
  <c r="O33" i="30"/>
  <c r="W35" i="31"/>
  <c r="O35" i="31"/>
  <c r="T34" i="31"/>
  <c r="Y33" i="31"/>
  <c r="Q33" i="31"/>
  <c r="W27" i="31"/>
  <c r="O27" i="31"/>
  <c r="V35" i="31"/>
  <c r="X33" i="31"/>
  <c r="P33" i="31"/>
  <c r="V27" i="31"/>
  <c r="W33" i="31"/>
  <c r="E24" i="25"/>
  <c r="M26" i="30"/>
  <c r="H22" i="37" l="1"/>
  <c r="I22" i="37"/>
  <c r="G22" i="37"/>
  <c r="D22" i="37"/>
  <c r="E22" i="37"/>
  <c r="F22" i="37"/>
  <c r="U22" i="37"/>
  <c r="P22" i="37"/>
  <c r="Q22" i="37"/>
  <c r="R12" i="27"/>
  <c r="R13" i="27" s="1"/>
  <c r="R14" i="27" s="1"/>
  <c r="O50" i="30"/>
  <c r="N21" i="37"/>
  <c r="O29" i="37"/>
  <c r="P29" i="37"/>
  <c r="Q29" i="37"/>
  <c r="R29" i="37"/>
  <c r="S29" i="37"/>
  <c r="T29" i="37"/>
  <c r="U29" i="37"/>
  <c r="V29" i="37"/>
  <c r="W29" i="37"/>
  <c r="X29" i="37"/>
  <c r="Y29" i="37"/>
  <c r="Z29" i="37"/>
  <c r="AA29" i="37"/>
  <c r="R22" i="37" l="1"/>
  <c r="L14" i="37"/>
  <c r="K14" i="37"/>
  <c r="J14" i="37"/>
  <c r="I14" i="37"/>
  <c r="H14" i="37"/>
  <c r="G14" i="37"/>
  <c r="F14" i="37"/>
  <c r="D14" i="37"/>
  <c r="E14" i="37"/>
  <c r="H86" i="46"/>
  <c r="C15" i="37" s="1"/>
  <c r="I86" i="46"/>
  <c r="D15" i="37" s="1"/>
  <c r="J86" i="46"/>
  <c r="E15" i="37" s="1"/>
  <c r="K86" i="46"/>
  <c r="F15" i="37" s="1"/>
  <c r="L86" i="46"/>
  <c r="G15" i="37" s="1"/>
  <c r="M86" i="46"/>
  <c r="H15" i="37" s="1"/>
  <c r="N86" i="46"/>
  <c r="I15" i="37" s="1"/>
  <c r="O86" i="46"/>
  <c r="J15" i="37" s="1"/>
  <c r="P86" i="46"/>
  <c r="K15" i="37" s="1"/>
  <c r="Q86" i="46"/>
  <c r="L15" i="37" s="1"/>
  <c r="R86" i="46"/>
  <c r="M15" i="37" s="1"/>
  <c r="S86" i="46"/>
  <c r="N15" i="37" s="1"/>
  <c r="T86" i="46"/>
  <c r="O15" i="37" s="1"/>
  <c r="U86" i="46"/>
  <c r="P15" i="37" s="1"/>
  <c r="V86" i="46"/>
  <c r="Q15" i="37" s="1"/>
  <c r="W86" i="46"/>
  <c r="R15" i="37" s="1"/>
  <c r="X86" i="46"/>
  <c r="S15" i="37" s="1"/>
  <c r="Y86" i="46"/>
  <c r="T15" i="37" s="1"/>
  <c r="Z86" i="46"/>
  <c r="U15" i="37" s="1"/>
  <c r="AA86" i="46"/>
  <c r="V15" i="37" s="1"/>
  <c r="AB86" i="46"/>
  <c r="W15" i="37" s="1"/>
  <c r="AC86" i="46"/>
  <c r="X15" i="37" s="1"/>
  <c r="AD86" i="46"/>
  <c r="Y15" i="37" s="1"/>
  <c r="AE86" i="46"/>
  <c r="Z15" i="37" s="1"/>
  <c r="AF86" i="46"/>
  <c r="AA15" i="37" s="1"/>
  <c r="F14" i="50"/>
  <c r="F13" i="50"/>
  <c r="F12" i="50"/>
  <c r="M14" i="50"/>
  <c r="G14" i="50"/>
  <c r="M13" i="50"/>
  <c r="G13" i="50"/>
  <c r="G12" i="50"/>
  <c r="G11" i="50"/>
  <c r="M10" i="50"/>
  <c r="G10" i="50"/>
  <c r="M9" i="50"/>
  <c r="G9" i="50"/>
  <c r="M8" i="50"/>
  <c r="G8" i="50"/>
  <c r="M7" i="50"/>
  <c r="G7" i="50"/>
  <c r="I4" i="50"/>
  <c r="B4" i="50"/>
  <c r="I2" i="50"/>
  <c r="N4" i="49"/>
  <c r="O4" i="49" s="1"/>
  <c r="O3" i="49"/>
  <c r="O15" i="49"/>
  <c r="J24" i="49" s="1"/>
  <c r="S22" i="37" l="1"/>
  <c r="O14" i="49"/>
  <c r="M47" i="30"/>
  <c r="N29" i="37" s="1"/>
  <c r="H13" i="50"/>
  <c r="H12" i="50"/>
  <c r="H14" i="50"/>
  <c r="H11" i="50"/>
  <c r="H10" i="50"/>
  <c r="H8" i="50"/>
  <c r="H9" i="50"/>
  <c r="H7" i="50"/>
  <c r="J7" i="50" s="1"/>
  <c r="K7" i="50" s="1"/>
  <c r="L7" i="50" s="1"/>
  <c r="J2" i="50"/>
  <c r="N14" i="49"/>
  <c r="B30" i="25"/>
  <c r="T22" i="37" l="1"/>
  <c r="I7" i="50"/>
  <c r="I8" i="50" s="1"/>
  <c r="I9" i="50" s="1"/>
  <c r="I10" i="50" s="1"/>
  <c r="I11" i="50" s="1"/>
  <c r="I12" i="50" s="1"/>
  <c r="I13" i="50" s="1"/>
  <c r="I14" i="50" s="1"/>
  <c r="J10" i="50"/>
  <c r="K10" i="50" s="1"/>
  <c r="L10" i="50" s="1"/>
  <c r="J14" i="50"/>
  <c r="K14" i="50" s="1"/>
  <c r="L14" i="50" s="1"/>
  <c r="J12" i="50"/>
  <c r="K12" i="50" s="1"/>
  <c r="L12" i="50" s="1"/>
  <c r="J11" i="50"/>
  <c r="K11" i="50" s="1"/>
  <c r="L11" i="50" s="1"/>
  <c r="J9" i="50"/>
  <c r="K9" i="50" s="1"/>
  <c r="L9" i="50" s="1"/>
  <c r="J13" i="50"/>
  <c r="K13" i="50" s="1"/>
  <c r="L13" i="50" s="1"/>
  <c r="J8" i="50"/>
  <c r="K8" i="50" s="1"/>
  <c r="L8" i="50" s="1"/>
  <c r="D29" i="37"/>
  <c r="E29" i="37"/>
  <c r="F29" i="37"/>
  <c r="G29" i="37"/>
  <c r="H29" i="37"/>
  <c r="I29" i="37"/>
  <c r="J29" i="37"/>
  <c r="K29" i="37"/>
  <c r="L29" i="37"/>
  <c r="M29" i="37"/>
  <c r="C29" i="37"/>
  <c r="B26" i="30"/>
  <c r="C6" i="25" l="1"/>
  <c r="M14" i="37"/>
  <c r="W49" i="35" l="1"/>
  <c r="W50" i="35"/>
  <c r="W51" i="35"/>
  <c r="W52" i="35"/>
  <c r="W53" i="35"/>
  <c r="W48" i="35"/>
  <c r="W47" i="35"/>
  <c r="W46" i="35"/>
  <c r="AD34" i="35" l="1"/>
  <c r="C4" i="37" l="1"/>
  <c r="P46" i="37" l="1"/>
  <c r="Q46" i="37"/>
  <c r="R46" i="37"/>
  <c r="S46" i="37"/>
  <c r="T46" i="37"/>
  <c r="U46" i="37"/>
  <c r="V46" i="37"/>
  <c r="W46" i="37"/>
  <c r="X46" i="37"/>
  <c r="Y46" i="37"/>
  <c r="Z46" i="37"/>
  <c r="AA46" i="37"/>
  <c r="O54" i="37"/>
  <c r="P54" i="37"/>
  <c r="Q54" i="37"/>
  <c r="R54" i="37"/>
  <c r="S54" i="37"/>
  <c r="T54" i="37"/>
  <c r="U54" i="37"/>
  <c r="V54" i="37"/>
  <c r="W54" i="37"/>
  <c r="X54" i="37"/>
  <c r="O8" i="37"/>
  <c r="P8" i="37"/>
  <c r="Q8" i="37"/>
  <c r="R8" i="37"/>
  <c r="S8" i="37"/>
  <c r="T8" i="37"/>
  <c r="U8" i="37"/>
  <c r="V8" i="37"/>
  <c r="W8" i="37"/>
  <c r="X8" i="37"/>
  <c r="Y8" i="37"/>
  <c r="Z8" i="37"/>
  <c r="AA8" i="37"/>
  <c r="G18" i="40"/>
  <c r="I14" i="40"/>
  <c r="I13" i="40"/>
  <c r="I12" i="40"/>
  <c r="I11" i="40"/>
  <c r="I10" i="40"/>
  <c r="K11" i="3"/>
  <c r="K10" i="3"/>
  <c r="K9" i="3"/>
  <c r="K8" i="3"/>
  <c r="K7" i="3"/>
  <c r="K6" i="3"/>
  <c r="K5" i="3"/>
  <c r="K4" i="3"/>
  <c r="K3" i="3"/>
  <c r="K2" i="3"/>
  <c r="K53" i="47"/>
  <c r="G53" i="47"/>
  <c r="C52" i="47"/>
  <c r="N15" i="41"/>
  <c r="J13" i="41"/>
  <c r="J12" i="41"/>
  <c r="J11" i="41"/>
  <c r="J10" i="41"/>
  <c r="J9" i="41"/>
  <c r="J8" i="41"/>
  <c r="J7" i="41"/>
  <c r="J6" i="41"/>
  <c r="J5" i="41"/>
  <c r="J4" i="41"/>
  <c r="G86" i="46"/>
  <c r="Q17" i="4"/>
  <c r="P17" i="4"/>
  <c r="O17" i="4"/>
  <c r="Z15" i="4"/>
  <c r="Y15" i="4"/>
  <c r="X15" i="4"/>
  <c r="W15" i="4"/>
  <c r="V15" i="4"/>
  <c r="B15" i="4"/>
  <c r="G12" i="4"/>
  <c r="G13" i="4" s="1"/>
  <c r="F12" i="4"/>
  <c r="F13" i="4" s="1"/>
  <c r="E12" i="4"/>
  <c r="E13" i="4" s="1"/>
  <c r="D12" i="4"/>
  <c r="D13" i="4" s="1"/>
  <c r="C12" i="4"/>
  <c r="C13" i="4" s="1"/>
  <c r="B12" i="4"/>
  <c r="B13" i="4" s="1"/>
  <c r="K9" i="4"/>
  <c r="J9" i="4"/>
  <c r="I9" i="4"/>
  <c r="H9" i="4"/>
  <c r="G9" i="4"/>
  <c r="F9" i="4"/>
  <c r="E9" i="4"/>
  <c r="D9" i="4"/>
  <c r="C9" i="4"/>
  <c r="B9" i="4"/>
  <c r="K8" i="4"/>
  <c r="J8" i="4"/>
  <c r="I8" i="4"/>
  <c r="H8" i="4"/>
  <c r="G8" i="4"/>
  <c r="F8" i="4"/>
  <c r="E8" i="4"/>
  <c r="D8" i="4"/>
  <c r="C8" i="4"/>
  <c r="B8" i="4"/>
  <c r="D3" i="4"/>
  <c r="D2" i="4"/>
  <c r="W14" i="4" s="1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M29" i="17" s="1"/>
  <c r="L28" i="17"/>
  <c r="L29" i="17" s="1"/>
  <c r="K28" i="17"/>
  <c r="K29" i="17" s="1"/>
  <c r="J28" i="17"/>
  <c r="J29" i="17" s="1"/>
  <c r="I28" i="17"/>
  <c r="I29" i="17" s="1"/>
  <c r="H28" i="17"/>
  <c r="H29" i="17" s="1"/>
  <c r="G28" i="17"/>
  <c r="G29" i="17" s="1"/>
  <c r="F28" i="17"/>
  <c r="F29" i="17" s="1"/>
  <c r="E28" i="17"/>
  <c r="E29" i="17" s="1"/>
  <c r="D28" i="17"/>
  <c r="D29" i="17" s="1"/>
  <c r="C28" i="17"/>
  <c r="C29" i="17" s="1"/>
  <c r="B25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0" i="17"/>
  <c r="B19" i="17" s="1"/>
  <c r="Y18" i="17"/>
  <c r="Y20" i="17" s="1"/>
  <c r="Y19" i="17" s="1"/>
  <c r="X18" i="17"/>
  <c r="X20" i="17" s="1"/>
  <c r="X19" i="17" s="1"/>
  <c r="W18" i="17"/>
  <c r="W20" i="17" s="1"/>
  <c r="W19" i="17" s="1"/>
  <c r="V18" i="17"/>
  <c r="V20" i="17" s="1"/>
  <c r="V19" i="17" s="1"/>
  <c r="U18" i="17"/>
  <c r="U20" i="17" s="1"/>
  <c r="U19" i="17" s="1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Y16" i="17"/>
  <c r="X16" i="17"/>
  <c r="W16" i="17"/>
  <c r="V16" i="17"/>
  <c r="U16" i="17"/>
  <c r="B16" i="17"/>
  <c r="T15" i="17"/>
  <c r="T16" i="17" s="1"/>
  <c r="S15" i="17"/>
  <c r="S16" i="17" s="1"/>
  <c r="R15" i="17"/>
  <c r="Q15" i="17"/>
  <c r="Q16" i="17" s="1"/>
  <c r="P15" i="17"/>
  <c r="O15" i="17"/>
  <c r="N15" i="17"/>
  <c r="N16" i="17" s="1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C15" i="17" s="1"/>
  <c r="B13" i="17"/>
  <c r="P13" i="17" s="1"/>
  <c r="B12" i="17"/>
  <c r="O12" i="17" s="1"/>
  <c r="B11" i="17"/>
  <c r="W11" i="17" s="1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Y9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Y8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Y7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Y6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Y5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M14" i="27"/>
  <c r="G14" i="27"/>
  <c r="M13" i="27"/>
  <c r="G13" i="27"/>
  <c r="G11" i="27"/>
  <c r="M10" i="27"/>
  <c r="G10" i="27"/>
  <c r="M9" i="27"/>
  <c r="G9" i="27"/>
  <c r="M8" i="27"/>
  <c r="G8" i="27"/>
  <c r="M7" i="27"/>
  <c r="G7" i="27"/>
  <c r="B4" i="27"/>
  <c r="I2" i="27"/>
  <c r="I7" i="27" s="1"/>
  <c r="I8" i="27" s="1"/>
  <c r="C24" i="18"/>
  <c r="D24" i="18" s="1"/>
  <c r="E24" i="18" s="1"/>
  <c r="F24" i="18" s="1"/>
  <c r="G24" i="18" s="1"/>
  <c r="H24" i="18" s="1"/>
  <c r="I24" i="18" s="1"/>
  <c r="J24" i="18" s="1"/>
  <c r="K24" i="18" s="1"/>
  <c r="L24" i="18" s="1"/>
  <c r="M24" i="18" s="1"/>
  <c r="N24" i="18" s="1"/>
  <c r="O24" i="18" s="1"/>
  <c r="P24" i="18" s="1"/>
  <c r="Q24" i="18" s="1"/>
  <c r="R24" i="18" s="1"/>
  <c r="S24" i="18" s="1"/>
  <c r="T24" i="18" s="1"/>
  <c r="U24" i="18" s="1"/>
  <c r="V24" i="18" s="1"/>
  <c r="W24" i="18" s="1"/>
  <c r="X24" i="18" s="1"/>
  <c r="Y24" i="18" s="1"/>
  <c r="Z24" i="18" s="1"/>
  <c r="D4" i="18"/>
  <c r="J12" i="18" s="1"/>
  <c r="D3" i="18"/>
  <c r="Z23" i="31"/>
  <c r="Z24" i="31" s="1"/>
  <c r="Z12" i="4" s="1"/>
  <c r="Z13" i="4" s="1"/>
  <c r="Y23" i="31"/>
  <c r="X23" i="31"/>
  <c r="W23" i="31"/>
  <c r="V23" i="31"/>
  <c r="U23" i="31"/>
  <c r="T23" i="31"/>
  <c r="S23" i="31"/>
  <c r="R23" i="31"/>
  <c r="Q23" i="31"/>
  <c r="P23" i="31"/>
  <c r="O23" i="31"/>
  <c r="N23" i="31"/>
  <c r="L23" i="31"/>
  <c r="K23" i="31"/>
  <c r="J23" i="31"/>
  <c r="I23" i="31"/>
  <c r="H23" i="31"/>
  <c r="G23" i="31"/>
  <c r="F23" i="31"/>
  <c r="E23" i="31"/>
  <c r="C23" i="31"/>
  <c r="B23" i="31"/>
  <c r="O46" i="37"/>
  <c r="N46" i="37"/>
  <c r="L26" i="30"/>
  <c r="M46" i="37" s="1"/>
  <c r="K26" i="30"/>
  <c r="L46" i="37" s="1"/>
  <c r="J26" i="30"/>
  <c r="K46" i="37" s="1"/>
  <c r="I26" i="30"/>
  <c r="H26" i="30"/>
  <c r="I46" i="37" s="1"/>
  <c r="G26" i="30"/>
  <c r="H46" i="37" s="1"/>
  <c r="F26" i="30"/>
  <c r="G46" i="37" s="1"/>
  <c r="E26" i="30"/>
  <c r="F46" i="37" s="1"/>
  <c r="D26" i="30"/>
  <c r="C26" i="30"/>
  <c r="D46" i="37" s="1"/>
  <c r="C46" i="37"/>
  <c r="B4" i="30"/>
  <c r="N54" i="37"/>
  <c r="M54" i="37"/>
  <c r="L54" i="37"/>
  <c r="K54" i="37"/>
  <c r="J54" i="37"/>
  <c r="I54" i="37"/>
  <c r="H54" i="37"/>
  <c r="G54" i="37"/>
  <c r="F54" i="37"/>
  <c r="E54" i="37"/>
  <c r="D54" i="37"/>
  <c r="N8" i="37"/>
  <c r="M8" i="37"/>
  <c r="L8" i="37"/>
  <c r="K8" i="37"/>
  <c r="J8" i="37"/>
  <c r="I8" i="37"/>
  <c r="H8" i="37"/>
  <c r="G8" i="37"/>
  <c r="F8" i="37"/>
  <c r="E8" i="37"/>
  <c r="D8" i="37"/>
  <c r="C8" i="37"/>
  <c r="C3" i="37"/>
  <c r="C1" i="37"/>
  <c r="AD41" i="35"/>
  <c r="AD40" i="35"/>
  <c r="AD39" i="35"/>
  <c r="AD38" i="35"/>
  <c r="AD37" i="35"/>
  <c r="AD36" i="35"/>
  <c r="AD35" i="35"/>
  <c r="C19" i="35"/>
  <c r="C13" i="35"/>
  <c r="C10" i="35"/>
  <c r="C7" i="35"/>
  <c r="C2" i="37" s="1"/>
  <c r="C4" i="35"/>
  <c r="T45" i="37"/>
  <c r="B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C9" i="25"/>
  <c r="C8" i="25"/>
  <c r="C7" i="25"/>
  <c r="B27" i="1"/>
  <c r="U40" i="31" l="1"/>
  <c r="K40" i="31"/>
  <c r="M40" i="31"/>
  <c r="V40" i="31"/>
  <c r="Z40" i="31"/>
  <c r="W40" i="31"/>
  <c r="Y40" i="31"/>
  <c r="N40" i="31"/>
  <c r="L40" i="31"/>
  <c r="X40" i="31"/>
  <c r="S40" i="31"/>
  <c r="I40" i="31"/>
  <c r="T40" i="31"/>
  <c r="O40" i="31"/>
  <c r="P40" i="31"/>
  <c r="H40" i="31"/>
  <c r="Q40" i="31"/>
  <c r="R40" i="31"/>
  <c r="J40" i="31"/>
  <c r="L2" i="27"/>
  <c r="L4" i="27" s="1"/>
  <c r="I9" i="27"/>
  <c r="I10" i="27" s="1"/>
  <c r="I11" i="27" s="1"/>
  <c r="I12" i="27" s="1"/>
  <c r="I13" i="27" s="1"/>
  <c r="I14" i="27" s="1"/>
  <c r="K12" i="27"/>
  <c r="L12" i="27" s="1"/>
  <c r="K13" i="27"/>
  <c r="L13" i="27" s="1"/>
  <c r="K14" i="27"/>
  <c r="L14" i="27" s="1"/>
  <c r="K7" i="27"/>
  <c r="L7" i="27" s="1"/>
  <c r="K8" i="27"/>
  <c r="L8" i="27" s="1"/>
  <c r="K9" i="27"/>
  <c r="L9" i="27" s="1"/>
  <c r="K10" i="27"/>
  <c r="L10" i="27" s="1"/>
  <c r="K11" i="27"/>
  <c r="L39" i="31"/>
  <c r="X39" i="31"/>
  <c r="M39" i="31"/>
  <c r="Y39" i="31"/>
  <c r="K39" i="31"/>
  <c r="V39" i="31"/>
  <c r="N39" i="31"/>
  <c r="Z39" i="31"/>
  <c r="O39" i="31"/>
  <c r="W39" i="31"/>
  <c r="P39" i="31"/>
  <c r="Q39" i="31"/>
  <c r="R39" i="31"/>
  <c r="H39" i="31"/>
  <c r="S39" i="31"/>
  <c r="I39" i="31"/>
  <c r="U39" i="31"/>
  <c r="T39" i="31"/>
  <c r="J39" i="31"/>
  <c r="I30" i="30"/>
  <c r="W50" i="30"/>
  <c r="X28" i="37" s="1"/>
  <c r="L31" i="30"/>
  <c r="L30" i="31"/>
  <c r="J31" i="31"/>
  <c r="H35" i="30"/>
  <c r="L24" i="31"/>
  <c r="L12" i="4" s="1"/>
  <c r="L13" i="4" s="1"/>
  <c r="M24" i="31"/>
  <c r="L22" i="37"/>
  <c r="L13" i="18"/>
  <c r="J13" i="18"/>
  <c r="Y34" i="35"/>
  <c r="Y35" i="35" s="1"/>
  <c r="Y36" i="35" s="1"/>
  <c r="Y37" i="35" s="1"/>
  <c r="Y38" i="35" s="1"/>
  <c r="Y39" i="35" s="1"/>
  <c r="Y40" i="35" s="1"/>
  <c r="Y41" i="35" s="1"/>
  <c r="H12" i="18"/>
  <c r="J22" i="37"/>
  <c r="K22" i="37"/>
  <c r="AA45" i="37"/>
  <c r="R45" i="37"/>
  <c r="I45" i="37"/>
  <c r="Y45" i="37"/>
  <c r="Q45" i="37"/>
  <c r="J45" i="37"/>
  <c r="H45" i="37"/>
  <c r="X45" i="37"/>
  <c r="P45" i="37"/>
  <c r="Z45" i="37"/>
  <c r="G45" i="37"/>
  <c r="W45" i="37"/>
  <c r="O45" i="37"/>
  <c r="F45" i="37"/>
  <c r="V45" i="37"/>
  <c r="N45" i="37"/>
  <c r="K45" i="37"/>
  <c r="C45" i="37"/>
  <c r="E45" i="37"/>
  <c r="U45" i="37"/>
  <c r="M45" i="37"/>
  <c r="S45" i="37"/>
  <c r="E24" i="31"/>
  <c r="L45" i="37"/>
  <c r="D45" i="37"/>
  <c r="F24" i="31"/>
  <c r="N24" i="31"/>
  <c r="F13" i="17"/>
  <c r="G24" i="31"/>
  <c r="H48" i="37" s="1"/>
  <c r="O24" i="31"/>
  <c r="H24" i="31"/>
  <c r="I24" i="31"/>
  <c r="J48" i="37" s="1"/>
  <c r="B24" i="31"/>
  <c r="C48" i="37" s="1"/>
  <c r="K24" i="31"/>
  <c r="D24" i="31"/>
  <c r="J24" i="31"/>
  <c r="C24" i="31"/>
  <c r="D48" i="37" s="1"/>
  <c r="E11" i="17"/>
  <c r="T11" i="17"/>
  <c r="U11" i="17"/>
  <c r="L12" i="18"/>
  <c r="C11" i="17"/>
  <c r="D11" i="17"/>
  <c r="E13" i="17"/>
  <c r="Q24" i="31"/>
  <c r="Q12" i="4" s="1"/>
  <c r="Q13" i="4" s="1"/>
  <c r="M11" i="17"/>
  <c r="Q11" i="17"/>
  <c r="C12" i="17"/>
  <c r="I13" i="17"/>
  <c r="R20" i="17"/>
  <c r="R19" i="17" s="1"/>
  <c r="X25" i="17"/>
  <c r="B27" i="30"/>
  <c r="C47" i="37" s="1"/>
  <c r="C12" i="18"/>
  <c r="D12" i="17"/>
  <c r="E14" i="4"/>
  <c r="E12" i="17"/>
  <c r="P25" i="17"/>
  <c r="L14" i="4"/>
  <c r="G12" i="17"/>
  <c r="M14" i="4"/>
  <c r="AA48" i="37"/>
  <c r="H12" i="17"/>
  <c r="H25" i="17"/>
  <c r="P14" i="4"/>
  <c r="P19" i="4" s="1"/>
  <c r="P18" i="4" s="1"/>
  <c r="L12" i="17"/>
  <c r="Y24" i="31"/>
  <c r="P12" i="17"/>
  <c r="S20" i="17"/>
  <c r="S19" i="17" s="1"/>
  <c r="H32" i="30"/>
  <c r="J27" i="31"/>
  <c r="T12" i="18"/>
  <c r="I11" i="17"/>
  <c r="Y11" i="17"/>
  <c r="N13" i="17"/>
  <c r="F25" i="17"/>
  <c r="N25" i="17"/>
  <c r="V25" i="17"/>
  <c r="U14" i="4"/>
  <c r="J15" i="41"/>
  <c r="C13" i="18"/>
  <c r="C14" i="18" s="1"/>
  <c r="L11" i="17"/>
  <c r="M12" i="17"/>
  <c r="O20" i="17"/>
  <c r="O19" i="17" s="1"/>
  <c r="D14" i="4"/>
  <c r="X14" i="4"/>
  <c r="P20" i="17"/>
  <c r="P19" i="17" s="1"/>
  <c r="E46" i="37"/>
  <c r="P11" i="17"/>
  <c r="I25" i="17"/>
  <c r="Q25" i="17"/>
  <c r="Y25" i="17"/>
  <c r="H14" i="4"/>
  <c r="J25" i="17"/>
  <c r="R25" i="17"/>
  <c r="C25" i="17"/>
  <c r="K25" i="17"/>
  <c r="S25" i="17"/>
  <c r="D25" i="17"/>
  <c r="L25" i="17"/>
  <c r="T25" i="17"/>
  <c r="N12" i="18"/>
  <c r="H11" i="17"/>
  <c r="X11" i="17"/>
  <c r="I12" i="17"/>
  <c r="M13" i="17"/>
  <c r="E25" i="17"/>
  <c r="M25" i="17"/>
  <c r="U25" i="17"/>
  <c r="G25" i="17"/>
  <c r="O25" i="17"/>
  <c r="W25" i="17"/>
  <c r="T14" i="4"/>
  <c r="H26" i="31"/>
  <c r="F26" i="31"/>
  <c r="L29" i="30"/>
  <c r="L26" i="31"/>
  <c r="D26" i="31"/>
  <c r="J29" i="30"/>
  <c r="J26" i="31"/>
  <c r="B26" i="31"/>
  <c r="H29" i="30"/>
  <c r="F29" i="30"/>
  <c r="K26" i="31"/>
  <c r="I26" i="31"/>
  <c r="G26" i="31"/>
  <c r="E26" i="31"/>
  <c r="K29" i="30"/>
  <c r="G29" i="30"/>
  <c r="C24" i="25"/>
  <c r="I29" i="30"/>
  <c r="C26" i="31"/>
  <c r="H34" i="31"/>
  <c r="F37" i="30"/>
  <c r="F34" i="31"/>
  <c r="L37" i="30"/>
  <c r="D37" i="30"/>
  <c r="E34" i="31"/>
  <c r="L34" i="31"/>
  <c r="D34" i="31"/>
  <c r="E46" i="30"/>
  <c r="J37" i="30"/>
  <c r="B37" i="30"/>
  <c r="J34" i="31"/>
  <c r="B34" i="31"/>
  <c r="C46" i="30"/>
  <c r="H37" i="30"/>
  <c r="G37" i="30"/>
  <c r="K34" i="31"/>
  <c r="E37" i="30"/>
  <c r="I34" i="31"/>
  <c r="C37" i="30"/>
  <c r="G34" i="31"/>
  <c r="C34" i="31"/>
  <c r="D46" i="30"/>
  <c r="I37" i="30"/>
  <c r="K37" i="30"/>
  <c r="F46" i="30"/>
  <c r="J45" i="30"/>
  <c r="B45" i="30"/>
  <c r="H45" i="30"/>
  <c r="K45" i="30"/>
  <c r="I45" i="30"/>
  <c r="G45" i="30"/>
  <c r="C26" i="37"/>
  <c r="C44" i="37"/>
  <c r="C6" i="37"/>
  <c r="C53" i="37"/>
  <c r="C35" i="37"/>
  <c r="C19" i="37"/>
  <c r="C12" i="37"/>
  <c r="C13" i="37" s="1"/>
  <c r="G11" i="35"/>
  <c r="F28" i="31"/>
  <c r="L28" i="31"/>
  <c r="D28" i="31"/>
  <c r="J31" i="30"/>
  <c r="B31" i="30"/>
  <c r="J28" i="31"/>
  <c r="B28" i="31"/>
  <c r="H31" i="30"/>
  <c r="H28" i="31"/>
  <c r="F31" i="30"/>
  <c r="E31" i="30"/>
  <c r="K28" i="31"/>
  <c r="D31" i="30"/>
  <c r="I28" i="31"/>
  <c r="C31" i="30"/>
  <c r="G28" i="31"/>
  <c r="E28" i="31"/>
  <c r="C28" i="31"/>
  <c r="K31" i="30"/>
  <c r="G31" i="30"/>
  <c r="I31" i="30"/>
  <c r="F36" i="31"/>
  <c r="L39" i="30"/>
  <c r="L36" i="31"/>
  <c r="D36" i="31"/>
  <c r="J39" i="30"/>
  <c r="K36" i="31"/>
  <c r="C36" i="31"/>
  <c r="J36" i="31"/>
  <c r="B36" i="31"/>
  <c r="H39" i="30"/>
  <c r="H36" i="31"/>
  <c r="G36" i="31"/>
  <c r="E36" i="31"/>
  <c r="K39" i="30"/>
  <c r="I39" i="30"/>
  <c r="G39" i="30"/>
  <c r="I36" i="31"/>
  <c r="D30" i="31"/>
  <c r="J30" i="31"/>
  <c r="B30" i="31"/>
  <c r="H33" i="30"/>
  <c r="H30" i="31"/>
  <c r="F33" i="30"/>
  <c r="F30" i="31"/>
  <c r="L33" i="30"/>
  <c r="D33" i="30"/>
  <c r="K30" i="31"/>
  <c r="E33" i="30"/>
  <c r="I30" i="31"/>
  <c r="C33" i="30"/>
  <c r="G30" i="31"/>
  <c r="B33" i="30"/>
  <c r="E30" i="31"/>
  <c r="C30" i="31"/>
  <c r="K33" i="30"/>
  <c r="J33" i="30"/>
  <c r="G33" i="30"/>
  <c r="I33" i="30"/>
  <c r="E38" i="31"/>
  <c r="L38" i="31"/>
  <c r="D38" i="31"/>
  <c r="J41" i="30"/>
  <c r="B41" i="30"/>
  <c r="J38" i="31"/>
  <c r="B38" i="31"/>
  <c r="H41" i="30"/>
  <c r="I38" i="31"/>
  <c r="H38" i="31"/>
  <c r="F38" i="31"/>
  <c r="L41" i="30"/>
  <c r="K38" i="31"/>
  <c r="G38" i="31"/>
  <c r="C38" i="31"/>
  <c r="K41" i="30"/>
  <c r="I41" i="30"/>
  <c r="G41" i="30"/>
  <c r="I33" i="31"/>
  <c r="F45" i="30"/>
  <c r="C44" i="30"/>
  <c r="E42" i="30"/>
  <c r="D39" i="30"/>
  <c r="K36" i="30"/>
  <c r="G33" i="31"/>
  <c r="D45" i="30"/>
  <c r="F43" i="30"/>
  <c r="C42" i="30"/>
  <c r="E40" i="30"/>
  <c r="B39" i="30"/>
  <c r="I36" i="30"/>
  <c r="F33" i="31"/>
  <c r="E33" i="31"/>
  <c r="D43" i="30"/>
  <c r="F41" i="30"/>
  <c r="C40" i="30"/>
  <c r="E38" i="30"/>
  <c r="G36" i="30"/>
  <c r="K33" i="31"/>
  <c r="C33" i="31"/>
  <c r="E44" i="30"/>
  <c r="D41" i="30"/>
  <c r="F39" i="30"/>
  <c r="C38" i="30"/>
  <c r="E36" i="30"/>
  <c r="F42" i="30"/>
  <c r="C41" i="30"/>
  <c r="D36" i="30"/>
  <c r="D42" i="30"/>
  <c r="C36" i="30"/>
  <c r="L33" i="31"/>
  <c r="E43" i="30"/>
  <c r="F38" i="30"/>
  <c r="B36" i="30"/>
  <c r="J33" i="31"/>
  <c r="F44" i="30"/>
  <c r="C43" i="30"/>
  <c r="D38" i="30"/>
  <c r="H33" i="31"/>
  <c r="D44" i="30"/>
  <c r="E39" i="30"/>
  <c r="B38" i="30"/>
  <c r="L36" i="30"/>
  <c r="D33" i="31"/>
  <c r="E45" i="30"/>
  <c r="F40" i="30"/>
  <c r="C39" i="30"/>
  <c r="J36" i="30"/>
  <c r="E41" i="30"/>
  <c r="B40" i="30"/>
  <c r="F36" i="30"/>
  <c r="D40" i="30"/>
  <c r="B33" i="31"/>
  <c r="H36" i="30"/>
  <c r="C45" i="30"/>
  <c r="K44" i="30"/>
  <c r="I44" i="30"/>
  <c r="G44" i="30"/>
  <c r="L44" i="30"/>
  <c r="J44" i="30"/>
  <c r="H44" i="30"/>
  <c r="B44" i="30"/>
  <c r="K31" i="31"/>
  <c r="C31" i="31"/>
  <c r="I31" i="31"/>
  <c r="K34" i="30"/>
  <c r="C34" i="30"/>
  <c r="H31" i="31"/>
  <c r="G31" i="31"/>
  <c r="I34" i="30"/>
  <c r="E31" i="31"/>
  <c r="G34" i="30"/>
  <c r="D31" i="31"/>
  <c r="E34" i="30"/>
  <c r="B31" i="31"/>
  <c r="D34" i="30"/>
  <c r="B34" i="30"/>
  <c r="L34" i="30"/>
  <c r="L31" i="31"/>
  <c r="J34" i="30"/>
  <c r="F31" i="31"/>
  <c r="F34" i="30"/>
  <c r="K42" i="30"/>
  <c r="I42" i="30"/>
  <c r="G42" i="30"/>
  <c r="B42" i="30"/>
  <c r="L42" i="30"/>
  <c r="H42" i="30"/>
  <c r="J42" i="30"/>
  <c r="H29" i="31"/>
  <c r="W16" i="4"/>
  <c r="J32" i="31"/>
  <c r="B32" i="31"/>
  <c r="H32" i="31"/>
  <c r="F35" i="30"/>
  <c r="G32" i="31"/>
  <c r="F32" i="31"/>
  <c r="L35" i="30"/>
  <c r="D35" i="30"/>
  <c r="L32" i="31"/>
  <c r="D32" i="31"/>
  <c r="J35" i="30"/>
  <c r="B35" i="30"/>
  <c r="E35" i="30"/>
  <c r="C35" i="30"/>
  <c r="K32" i="31"/>
  <c r="K35" i="30"/>
  <c r="I32" i="31"/>
  <c r="I35" i="30"/>
  <c r="C32" i="31"/>
  <c r="G35" i="30"/>
  <c r="H43" i="30"/>
  <c r="L45" i="30"/>
  <c r="L43" i="30"/>
  <c r="J43" i="30"/>
  <c r="B43" i="30"/>
  <c r="I43" i="30"/>
  <c r="G43" i="30"/>
  <c r="K43" i="30"/>
  <c r="H34" i="30"/>
  <c r="J46" i="37"/>
  <c r="G27" i="31"/>
  <c r="E27" i="31"/>
  <c r="G30" i="30"/>
  <c r="K27" i="31"/>
  <c r="C27" i="31"/>
  <c r="E30" i="30"/>
  <c r="I27" i="31"/>
  <c r="K30" i="30"/>
  <c r="C30" i="30"/>
  <c r="F27" i="31"/>
  <c r="F30" i="30"/>
  <c r="D27" i="31"/>
  <c r="D30" i="30"/>
  <c r="B27" i="31"/>
  <c r="B30" i="30"/>
  <c r="L30" i="30"/>
  <c r="L27" i="31"/>
  <c r="J30" i="30"/>
  <c r="H27" i="31"/>
  <c r="H30" i="30"/>
  <c r="G35" i="31"/>
  <c r="I38" i="30"/>
  <c r="E35" i="31"/>
  <c r="G38" i="30"/>
  <c r="L35" i="31"/>
  <c r="D35" i="31"/>
  <c r="K35" i="31"/>
  <c r="C35" i="31"/>
  <c r="I35" i="31"/>
  <c r="K38" i="30"/>
  <c r="J35" i="31"/>
  <c r="J38" i="30"/>
  <c r="H35" i="31"/>
  <c r="H38" i="30"/>
  <c r="F35" i="31"/>
  <c r="B35" i="31"/>
  <c r="L38" i="30"/>
  <c r="I46" i="30"/>
  <c r="G46" i="30"/>
  <c r="K46" i="30"/>
  <c r="B46" i="30"/>
  <c r="L46" i="30"/>
  <c r="J46" i="30"/>
  <c r="H46" i="30"/>
  <c r="E32" i="31"/>
  <c r="E29" i="31"/>
  <c r="K29" i="31"/>
  <c r="C29" i="31"/>
  <c r="E32" i="30"/>
  <c r="I29" i="31"/>
  <c r="K32" i="30"/>
  <c r="C32" i="30"/>
  <c r="G29" i="31"/>
  <c r="I32" i="30"/>
  <c r="D29" i="31"/>
  <c r="F32" i="30"/>
  <c r="B29" i="31"/>
  <c r="D32" i="30"/>
  <c r="B32" i="30"/>
  <c r="L29" i="31"/>
  <c r="L32" i="30"/>
  <c r="J29" i="31"/>
  <c r="J32" i="30"/>
  <c r="F29" i="31"/>
  <c r="G32" i="30"/>
  <c r="F37" i="31"/>
  <c r="E37" i="31"/>
  <c r="G40" i="30"/>
  <c r="K37" i="31"/>
  <c r="C37" i="31"/>
  <c r="J37" i="31"/>
  <c r="B37" i="31"/>
  <c r="I37" i="31"/>
  <c r="K40" i="30"/>
  <c r="G37" i="31"/>
  <c r="I40" i="30"/>
  <c r="L37" i="31"/>
  <c r="H37" i="31"/>
  <c r="D37" i="31"/>
  <c r="L40" i="30"/>
  <c r="J40" i="30"/>
  <c r="H40" i="30"/>
  <c r="W24" i="31"/>
  <c r="P24" i="31"/>
  <c r="S24" i="31"/>
  <c r="R24" i="31"/>
  <c r="T24" i="31"/>
  <c r="U24" i="31"/>
  <c r="V24" i="31"/>
  <c r="X24" i="31"/>
  <c r="C20" i="17"/>
  <c r="C19" i="17" s="1"/>
  <c r="D15" i="17"/>
  <c r="C16" i="17"/>
  <c r="Z12" i="18"/>
  <c r="Z13" i="18"/>
  <c r="J13" i="17"/>
  <c r="R16" i="17"/>
  <c r="T20" i="17"/>
  <c r="T19" i="17" s="1"/>
  <c r="I14" i="4"/>
  <c r="Q14" i="4"/>
  <c r="Y14" i="4"/>
  <c r="J11" i="17"/>
  <c r="R11" i="17"/>
  <c r="J12" i="17"/>
  <c r="C13" i="17"/>
  <c r="K13" i="17"/>
  <c r="B14" i="4"/>
  <c r="J14" i="4"/>
  <c r="R14" i="4"/>
  <c r="Z14" i="4"/>
  <c r="F12" i="18"/>
  <c r="F13" i="18"/>
  <c r="K11" i="17"/>
  <c r="S11" i="17"/>
  <c r="K12" i="17"/>
  <c r="D13" i="17"/>
  <c r="L13" i="17"/>
  <c r="N20" i="17"/>
  <c r="N19" i="17" s="1"/>
  <c r="C14" i="4"/>
  <c r="K14" i="4"/>
  <c r="S14" i="4"/>
  <c r="H13" i="18"/>
  <c r="F11" i="17"/>
  <c r="N11" i="17"/>
  <c r="V11" i="17"/>
  <c r="F12" i="17"/>
  <c r="N12" i="17"/>
  <c r="G13" i="17"/>
  <c r="O13" i="17"/>
  <c r="O16" i="17"/>
  <c r="Q20" i="17"/>
  <c r="Q19" i="17" s="1"/>
  <c r="F14" i="4"/>
  <c r="N14" i="4"/>
  <c r="V14" i="4"/>
  <c r="N13" i="18"/>
  <c r="G11" i="17"/>
  <c r="O11" i="17"/>
  <c r="H13" i="17"/>
  <c r="P16" i="17"/>
  <c r="G14" i="4"/>
  <c r="O14" i="4"/>
  <c r="T13" i="18"/>
  <c r="K42" i="31" l="1"/>
  <c r="R50" i="30"/>
  <c r="X50" i="30"/>
  <c r="Y28" i="37" s="1"/>
  <c r="T50" i="30"/>
  <c r="U28" i="37" s="1"/>
  <c r="U50" i="30"/>
  <c r="V28" i="37" s="1"/>
  <c r="Q50" i="30"/>
  <c r="R28" i="37" s="1"/>
  <c r="Y50" i="30"/>
  <c r="Z28" i="37" s="1"/>
  <c r="S50" i="30"/>
  <c r="T28" i="37" s="1"/>
  <c r="P50" i="30"/>
  <c r="Q28" i="37" s="1"/>
  <c r="Z50" i="30"/>
  <c r="AA28" i="37" s="1"/>
  <c r="V50" i="30"/>
  <c r="W28" i="37" s="1"/>
  <c r="D35" i="37"/>
  <c r="E35" i="37" s="1"/>
  <c r="F35" i="37" s="1"/>
  <c r="G35" i="37" s="1"/>
  <c r="H35" i="37" s="1"/>
  <c r="I35" i="37" s="1"/>
  <c r="J35" i="37" s="1"/>
  <c r="K35" i="37" s="1"/>
  <c r="L35" i="37" s="1"/>
  <c r="M35" i="37" s="1"/>
  <c r="N35" i="37" s="1"/>
  <c r="O35" i="37" s="1"/>
  <c r="P35" i="37" s="1"/>
  <c r="Q35" i="37" s="1"/>
  <c r="R35" i="37" s="1"/>
  <c r="S35" i="37" s="1"/>
  <c r="T35" i="37" s="1"/>
  <c r="U35" i="37" s="1"/>
  <c r="V35" i="37" s="1"/>
  <c r="W35" i="37" s="1"/>
  <c r="X35" i="37" s="1"/>
  <c r="Y35" i="37" s="1"/>
  <c r="Z35" i="37" s="1"/>
  <c r="AA35" i="37" s="1"/>
  <c r="D53" i="37"/>
  <c r="E53" i="37" s="1"/>
  <c r="F53" i="37" s="1"/>
  <c r="G53" i="37" s="1"/>
  <c r="H53" i="37" s="1"/>
  <c r="I53" i="37" s="1"/>
  <c r="J53" i="37" s="1"/>
  <c r="K53" i="37" s="1"/>
  <c r="L53" i="37" s="1"/>
  <c r="M53" i="37" s="1"/>
  <c r="N53" i="37" s="1"/>
  <c r="O53" i="37" s="1"/>
  <c r="P53" i="37" s="1"/>
  <c r="Q53" i="37" s="1"/>
  <c r="R53" i="37" s="1"/>
  <c r="S53" i="37" s="1"/>
  <c r="T53" i="37" s="1"/>
  <c r="U53" i="37" s="1"/>
  <c r="V53" i="37" s="1"/>
  <c r="W53" i="37" s="1"/>
  <c r="X53" i="37" s="1"/>
  <c r="Y53" i="37" s="1"/>
  <c r="Z53" i="37" s="1"/>
  <c r="AA53" i="37" s="1"/>
  <c r="O22" i="37"/>
  <c r="N22" i="37"/>
  <c r="R42" i="31"/>
  <c r="B50" i="30"/>
  <c r="C28" i="37" s="1"/>
  <c r="C30" i="37" s="1"/>
  <c r="E42" i="31"/>
  <c r="Z42" i="31"/>
  <c r="V42" i="31"/>
  <c r="C50" i="30"/>
  <c r="D28" i="37" s="1"/>
  <c r="C42" i="31"/>
  <c r="U42" i="31"/>
  <c r="M42" i="31"/>
  <c r="J50" i="30"/>
  <c r="H42" i="31"/>
  <c r="I50" i="30"/>
  <c r="M50" i="30"/>
  <c r="F50" i="30"/>
  <c r="D42" i="31"/>
  <c r="P42" i="31"/>
  <c r="D50" i="30"/>
  <c r="S42" i="31"/>
  <c r="G42" i="31"/>
  <c r="O42" i="31"/>
  <c r="L42" i="31"/>
  <c r="X42" i="31"/>
  <c r="W42" i="31"/>
  <c r="H50" i="30"/>
  <c r="T42" i="31"/>
  <c r="K50" i="30"/>
  <c r="L28" i="37" s="1"/>
  <c r="G50" i="30"/>
  <c r="N50" i="30"/>
  <c r="O28" i="37" s="1"/>
  <c r="B42" i="31"/>
  <c r="L50" i="30"/>
  <c r="Y42" i="31"/>
  <c r="N42" i="31"/>
  <c r="E50" i="30"/>
  <c r="Q42" i="31"/>
  <c r="I42" i="31"/>
  <c r="J42" i="31"/>
  <c r="F42" i="31"/>
  <c r="D19" i="37"/>
  <c r="M22" i="37"/>
  <c r="L11" i="27"/>
  <c r="X16" i="4"/>
  <c r="R48" i="37"/>
  <c r="M48" i="37"/>
  <c r="C49" i="37"/>
  <c r="C50" i="37" s="1"/>
  <c r="I12" i="4"/>
  <c r="V12" i="4"/>
  <c r="V13" i="4" s="1"/>
  <c r="W48" i="37"/>
  <c r="U12" i="4"/>
  <c r="U13" i="4" s="1"/>
  <c r="V48" i="37"/>
  <c r="T12" i="4"/>
  <c r="T13" i="4" s="1"/>
  <c r="U48" i="37"/>
  <c r="Y12" i="4"/>
  <c r="Y13" i="4" s="1"/>
  <c r="Z48" i="37"/>
  <c r="C27" i="30"/>
  <c r="D47" i="37" s="1"/>
  <c r="R12" i="4"/>
  <c r="R13" i="4" s="1"/>
  <c r="S48" i="37"/>
  <c r="S12" i="4"/>
  <c r="S13" i="4" s="1"/>
  <c r="T48" i="37"/>
  <c r="O12" i="4"/>
  <c r="O13" i="4" s="1"/>
  <c r="P48" i="37"/>
  <c r="N12" i="4"/>
  <c r="N13" i="4" s="1"/>
  <c r="O48" i="37"/>
  <c r="W12" i="4"/>
  <c r="W13" i="4" s="1"/>
  <c r="X48" i="37"/>
  <c r="X12" i="4"/>
  <c r="X13" i="4" s="1"/>
  <c r="Y48" i="37"/>
  <c r="P12" i="4"/>
  <c r="P13" i="4" s="1"/>
  <c r="Q48" i="37"/>
  <c r="F14" i="18"/>
  <c r="H14" i="18" s="1"/>
  <c r="J14" i="18" s="1"/>
  <c r="L14" i="18" s="1"/>
  <c r="N14" i="18" s="1"/>
  <c r="T14" i="18" s="1"/>
  <c r="Z14" i="18" s="1"/>
  <c r="C16" i="18"/>
  <c r="C15" i="18"/>
  <c r="D26" i="37"/>
  <c r="O19" i="4"/>
  <c r="O18" i="4" s="1"/>
  <c r="D16" i="17"/>
  <c r="D20" i="17"/>
  <c r="D19" i="17" s="1"/>
  <c r="E15" i="17"/>
  <c r="B16" i="4"/>
  <c r="D12" i="37"/>
  <c r="J12" i="4"/>
  <c r="K48" i="37"/>
  <c r="Q19" i="4"/>
  <c r="Q18" i="4" s="1"/>
  <c r="M12" i="4"/>
  <c r="M13" i="4" s="1"/>
  <c r="N48" i="37"/>
  <c r="K12" i="4"/>
  <c r="L48" i="37"/>
  <c r="Y16" i="4"/>
  <c r="V16" i="4"/>
  <c r="H12" i="4"/>
  <c r="I48" i="37"/>
  <c r="D6" i="37"/>
  <c r="Z16" i="4"/>
  <c r="D44" i="37"/>
  <c r="B54" i="37" l="1"/>
  <c r="C27" i="35" s="1"/>
  <c r="S28" i="37"/>
  <c r="P28" i="37"/>
  <c r="E19" i="37"/>
  <c r="F19" i="37" s="1"/>
  <c r="G19" i="37" s="1"/>
  <c r="H19" i="37" s="1"/>
  <c r="I19" i="37" s="1"/>
  <c r="J19" i="37" s="1"/>
  <c r="K19" i="37" s="1"/>
  <c r="L19" i="37" s="1"/>
  <c r="M19" i="37" s="1"/>
  <c r="N19" i="37" s="1"/>
  <c r="O19" i="37" s="1"/>
  <c r="P19" i="37" s="1"/>
  <c r="Q19" i="37" s="1"/>
  <c r="R19" i="37" s="1"/>
  <c r="S19" i="37" s="1"/>
  <c r="T19" i="37" s="1"/>
  <c r="U19" i="37" s="1"/>
  <c r="V19" i="37" s="1"/>
  <c r="W19" i="37" s="1"/>
  <c r="X19" i="37" s="1"/>
  <c r="Y19" i="37" s="1"/>
  <c r="Z19" i="37" s="1"/>
  <c r="AA19" i="37" s="1"/>
  <c r="B51" i="30"/>
  <c r="B17" i="4" s="1"/>
  <c r="B19" i="4" s="1"/>
  <c r="B18" i="4" s="1"/>
  <c r="C43" i="31"/>
  <c r="D31" i="37" s="1"/>
  <c r="B24" i="1"/>
  <c r="M43" i="31"/>
  <c r="N31" i="37" s="1"/>
  <c r="Q43" i="31"/>
  <c r="R31" i="37" s="1"/>
  <c r="K43" i="31"/>
  <c r="L31" i="37" s="1"/>
  <c r="J43" i="31"/>
  <c r="K31" i="37" s="1"/>
  <c r="B43" i="31"/>
  <c r="C31" i="37" s="1"/>
  <c r="D27" i="30"/>
  <c r="E27" i="30" s="1"/>
  <c r="G43" i="31"/>
  <c r="H31" i="37" s="1"/>
  <c r="H43" i="31"/>
  <c r="I31" i="37" s="1"/>
  <c r="D43" i="31"/>
  <c r="E31" i="37" s="1"/>
  <c r="F43" i="31"/>
  <c r="G31" i="37" s="1"/>
  <c r="E43" i="31"/>
  <c r="F31" i="37" s="1"/>
  <c r="I43" i="31"/>
  <c r="J31" i="37" s="1"/>
  <c r="E48" i="37"/>
  <c r="D49" i="37"/>
  <c r="D50" i="37" s="1"/>
  <c r="C15" i="4"/>
  <c r="C16" i="4" s="1"/>
  <c r="D15" i="18"/>
  <c r="D16" i="18"/>
  <c r="C17" i="18"/>
  <c r="F28" i="37"/>
  <c r="X23" i="4"/>
  <c r="X43" i="31"/>
  <c r="Y31" i="37" s="1"/>
  <c r="G28" i="37"/>
  <c r="U43" i="31"/>
  <c r="V31" i="37" s="1"/>
  <c r="E28" i="37"/>
  <c r="E6" i="37"/>
  <c r="N43" i="31"/>
  <c r="O31" i="37" s="1"/>
  <c r="T43" i="31"/>
  <c r="U31" i="37" s="1"/>
  <c r="E16" i="17"/>
  <c r="E20" i="17"/>
  <c r="E19" i="17" s="1"/>
  <c r="F15" i="17"/>
  <c r="L43" i="31"/>
  <c r="M31" i="37" s="1"/>
  <c r="N28" i="37"/>
  <c r="R43" i="31"/>
  <c r="S31" i="37" s="1"/>
  <c r="I28" i="37"/>
  <c r="O43" i="31"/>
  <c r="P31" i="37" s="1"/>
  <c r="J28" i="37"/>
  <c r="V43" i="31"/>
  <c r="W31" i="37" s="1"/>
  <c r="Y23" i="4"/>
  <c r="Y43" i="31"/>
  <c r="Z31" i="37" s="1"/>
  <c r="M28" i="37"/>
  <c r="W43" i="31"/>
  <c r="X31" i="37" s="1"/>
  <c r="S43" i="31"/>
  <c r="T31" i="37" s="1"/>
  <c r="E26" i="37"/>
  <c r="E12" i="37"/>
  <c r="D13" i="37"/>
  <c r="E44" i="37"/>
  <c r="Z23" i="4"/>
  <c r="Z43" i="31"/>
  <c r="AA31" i="37" s="1"/>
  <c r="K28" i="37"/>
  <c r="H28" i="37"/>
  <c r="P43" i="31"/>
  <c r="Q31" i="37" s="1"/>
  <c r="W10" i="37" l="1"/>
  <c r="W20" i="37" s="1"/>
  <c r="L10" i="37"/>
  <c r="M10" i="37"/>
  <c r="Y10" i="37"/>
  <c r="Y20" i="37" s="1"/>
  <c r="N10" i="37"/>
  <c r="Z10" i="37"/>
  <c r="Z20" i="37" s="1"/>
  <c r="O10" i="37"/>
  <c r="AA10" i="37"/>
  <c r="H10" i="37"/>
  <c r="U10" i="37"/>
  <c r="J10" i="37"/>
  <c r="V10" i="37"/>
  <c r="V20" i="37" s="1"/>
  <c r="K10" i="37"/>
  <c r="D10" i="37"/>
  <c r="P10" i="37"/>
  <c r="C10" i="37"/>
  <c r="C20" i="37" s="1"/>
  <c r="E10" i="37"/>
  <c r="Q10" i="37"/>
  <c r="F10" i="37"/>
  <c r="R10" i="37"/>
  <c r="G10" i="37"/>
  <c r="S10" i="37"/>
  <c r="T10" i="37"/>
  <c r="I10" i="37"/>
  <c r="X10" i="37"/>
  <c r="X20" i="37" s="1"/>
  <c r="C51" i="30"/>
  <c r="C17" i="4" s="1"/>
  <c r="C23" i="4" s="1"/>
  <c r="C25" i="4" s="1"/>
  <c r="C24" i="4" s="1"/>
  <c r="B21" i="37"/>
  <c r="B22" i="37"/>
  <c r="F44" i="37"/>
  <c r="G44" i="37" s="1"/>
  <c r="H44" i="37" s="1"/>
  <c r="I44" i="37" s="1"/>
  <c r="J44" i="37" s="1"/>
  <c r="K44" i="37" s="1"/>
  <c r="L44" i="37" s="1"/>
  <c r="M44" i="37" s="1"/>
  <c r="N44" i="37" s="1"/>
  <c r="O44" i="37" s="1"/>
  <c r="P44" i="37" s="1"/>
  <c r="Q44" i="37" s="1"/>
  <c r="R44" i="37" s="1"/>
  <c r="S44" i="37" s="1"/>
  <c r="T44" i="37" s="1"/>
  <c r="U44" i="37" s="1"/>
  <c r="V44" i="37" s="1"/>
  <c r="W44" i="37" s="1"/>
  <c r="X44" i="37" s="1"/>
  <c r="Y44" i="37" s="1"/>
  <c r="Z44" i="37" s="1"/>
  <c r="AA44" i="37" s="1"/>
  <c r="B23" i="4"/>
  <c r="B25" i="4" s="1"/>
  <c r="B24" i="4" s="1"/>
  <c r="C38" i="37"/>
  <c r="C41" i="37" s="1"/>
  <c r="E47" i="37"/>
  <c r="D30" i="37"/>
  <c r="C32" i="37"/>
  <c r="R23" i="4"/>
  <c r="G48" i="37"/>
  <c r="F48" i="37"/>
  <c r="W23" i="4"/>
  <c r="O23" i="4"/>
  <c r="S23" i="4"/>
  <c r="N23" i="4"/>
  <c r="V23" i="4"/>
  <c r="Q23" i="4"/>
  <c r="T23" i="4"/>
  <c r="U23" i="4"/>
  <c r="P23" i="4"/>
  <c r="E16" i="18"/>
  <c r="D17" i="18"/>
  <c r="E15" i="18"/>
  <c r="D15" i="4"/>
  <c r="D16" i="4" s="1"/>
  <c r="F27" i="30"/>
  <c r="F47" i="37"/>
  <c r="K23" i="4"/>
  <c r="F26" i="37"/>
  <c r="L23" i="4"/>
  <c r="F6" i="37"/>
  <c r="J23" i="4"/>
  <c r="F16" i="17"/>
  <c r="F20" i="17"/>
  <c r="F19" i="17" s="1"/>
  <c r="G15" i="17"/>
  <c r="I23" i="4"/>
  <c r="G23" i="4"/>
  <c r="H23" i="4"/>
  <c r="M23" i="4"/>
  <c r="F12" i="37"/>
  <c r="E13" i="37"/>
  <c r="C19" i="4" l="1"/>
  <c r="C18" i="4" s="1"/>
  <c r="D51" i="30"/>
  <c r="I16" i="37"/>
  <c r="I20" i="37"/>
  <c r="V16" i="37"/>
  <c r="W16" i="37" s="1"/>
  <c r="X16" i="37" s="1"/>
  <c r="Y16" i="37" s="1"/>
  <c r="Z16" i="37" s="1"/>
  <c r="AA16" i="37" s="1"/>
  <c r="T20" i="37"/>
  <c r="T16" i="37"/>
  <c r="J20" i="37"/>
  <c r="J16" i="37"/>
  <c r="S20" i="37"/>
  <c r="S16" i="37"/>
  <c r="U20" i="37"/>
  <c r="U16" i="37"/>
  <c r="G16" i="37"/>
  <c r="G20" i="37"/>
  <c r="H16" i="37"/>
  <c r="H20" i="37"/>
  <c r="R20" i="37"/>
  <c r="R16" i="37"/>
  <c r="F16" i="37"/>
  <c r="F20" i="37"/>
  <c r="O20" i="37"/>
  <c r="O23" i="37" s="1"/>
  <c r="O16" i="37"/>
  <c r="Q20" i="37"/>
  <c r="Q16" i="37"/>
  <c r="E16" i="37"/>
  <c r="E20" i="37"/>
  <c r="N20" i="37"/>
  <c r="N23" i="37" s="1"/>
  <c r="N16" i="37"/>
  <c r="P20" i="37"/>
  <c r="P23" i="37" s="1"/>
  <c r="P16" i="37"/>
  <c r="M20" i="37"/>
  <c r="M23" i="37" s="1"/>
  <c r="M16" i="37"/>
  <c r="D16" i="37"/>
  <c r="D20" i="37"/>
  <c r="L20" i="37"/>
  <c r="L23" i="37" s="1"/>
  <c r="L16" i="37"/>
  <c r="K20" i="37"/>
  <c r="K16" i="37"/>
  <c r="B46" i="37"/>
  <c r="B45" i="37"/>
  <c r="L12" i="35" s="1"/>
  <c r="B48" i="37"/>
  <c r="L18" i="35" s="1"/>
  <c r="G6" i="37"/>
  <c r="H6" i="37" s="1"/>
  <c r="I6" i="37" s="1"/>
  <c r="J6" i="37" s="1"/>
  <c r="K6" i="37" s="1"/>
  <c r="L6" i="37" s="1"/>
  <c r="M6" i="37" s="1"/>
  <c r="N6" i="37" s="1"/>
  <c r="O6" i="37" s="1"/>
  <c r="P6" i="37" s="1"/>
  <c r="Q6" i="37" s="1"/>
  <c r="R6" i="37" s="1"/>
  <c r="S6" i="37" s="1"/>
  <c r="T6" i="37" s="1"/>
  <c r="U6" i="37" s="1"/>
  <c r="V6" i="37" s="1"/>
  <c r="W6" i="37" s="1"/>
  <c r="X6" i="37" s="1"/>
  <c r="Y6" i="37" s="1"/>
  <c r="Z6" i="37" s="1"/>
  <c r="AA6" i="37" s="1"/>
  <c r="G26" i="37"/>
  <c r="H26" i="37" s="1"/>
  <c r="I26" i="37" s="1"/>
  <c r="J26" i="37" s="1"/>
  <c r="K26" i="37" s="1"/>
  <c r="L26" i="37" s="1"/>
  <c r="M26" i="37" s="1"/>
  <c r="N26" i="37" s="1"/>
  <c r="O26" i="37" s="1"/>
  <c r="P26" i="37" s="1"/>
  <c r="Q26" i="37" s="1"/>
  <c r="R26" i="37" s="1"/>
  <c r="S26" i="37" s="1"/>
  <c r="T26" i="37" s="1"/>
  <c r="U26" i="37" s="1"/>
  <c r="V26" i="37" s="1"/>
  <c r="W26" i="37" s="1"/>
  <c r="X26" i="37" s="1"/>
  <c r="Y26" i="37" s="1"/>
  <c r="Z26" i="37" s="1"/>
  <c r="AA26" i="37" s="1"/>
  <c r="D38" i="37"/>
  <c r="D41" i="37" s="1"/>
  <c r="E49" i="37"/>
  <c r="E50" i="37" s="1"/>
  <c r="E30" i="37"/>
  <c r="D32" i="37"/>
  <c r="G27" i="30"/>
  <c r="G47" i="37"/>
  <c r="F49" i="37"/>
  <c r="F50" i="37" s="1"/>
  <c r="E15" i="4"/>
  <c r="E16" i="4" s="1"/>
  <c r="F15" i="18"/>
  <c r="F16" i="18"/>
  <c r="E17" i="18"/>
  <c r="D17" i="4"/>
  <c r="E51" i="30"/>
  <c r="O25" i="4"/>
  <c r="O24" i="4" s="1"/>
  <c r="G16" i="17"/>
  <c r="G20" i="17"/>
  <c r="G19" i="17" s="1"/>
  <c r="H15" i="17"/>
  <c r="G12" i="37"/>
  <c r="F13" i="37"/>
  <c r="E37" i="37" l="1"/>
  <c r="E40" i="37" s="1"/>
  <c r="B10" i="37"/>
  <c r="B9" i="37"/>
  <c r="F24" i="35" s="1"/>
  <c r="D37" i="37"/>
  <c r="D40" i="37" s="1"/>
  <c r="Q23" i="37"/>
  <c r="B28" i="37"/>
  <c r="B29" i="37"/>
  <c r="B31" i="37"/>
  <c r="I31" i="35" s="1"/>
  <c r="B7" i="37"/>
  <c r="E11" i="35" s="1"/>
  <c r="B8" i="37"/>
  <c r="C16" i="35" s="1"/>
  <c r="C37" i="37"/>
  <c r="C40" i="37" s="1"/>
  <c r="E38" i="37"/>
  <c r="E41" i="37" s="1"/>
  <c r="F30" i="37"/>
  <c r="E32" i="37"/>
  <c r="F17" i="18"/>
  <c r="G16" i="18"/>
  <c r="G49" i="37"/>
  <c r="G50" i="37" s="1"/>
  <c r="H27" i="30"/>
  <c r="H47" i="37"/>
  <c r="G15" i="18"/>
  <c r="F15" i="4"/>
  <c r="F16" i="4" s="1"/>
  <c r="E17" i="4"/>
  <c r="F51" i="30"/>
  <c r="D23" i="4"/>
  <c r="D25" i="4" s="1"/>
  <c r="D24" i="4" s="1"/>
  <c r="D19" i="4"/>
  <c r="D18" i="4" s="1"/>
  <c r="P25" i="4"/>
  <c r="P24" i="4" s="1"/>
  <c r="H16" i="17"/>
  <c r="H20" i="17"/>
  <c r="H19" i="17" s="1"/>
  <c r="I15" i="17"/>
  <c r="B29" i="1"/>
  <c r="G13" i="37"/>
  <c r="H12" i="37"/>
  <c r="AA20" i="37" l="1"/>
  <c r="I11" i="35"/>
  <c r="I14" i="35" s="1"/>
  <c r="H13" i="37"/>
  <c r="G30" i="37"/>
  <c r="F38" i="37"/>
  <c r="F41" i="37" s="1"/>
  <c r="F32" i="37"/>
  <c r="F37" i="37"/>
  <c r="F40" i="37" s="1"/>
  <c r="D27" i="37"/>
  <c r="L27" i="37"/>
  <c r="T27" i="37"/>
  <c r="C27" i="37"/>
  <c r="K27" i="37"/>
  <c r="E27" i="37"/>
  <c r="M27" i="37"/>
  <c r="U27" i="37"/>
  <c r="S27" i="37"/>
  <c r="F27" i="37"/>
  <c r="N27" i="37"/>
  <c r="V27" i="37"/>
  <c r="G27" i="37"/>
  <c r="O27" i="37"/>
  <c r="W27" i="37"/>
  <c r="H27" i="37"/>
  <c r="P27" i="37"/>
  <c r="X27" i="37"/>
  <c r="I27" i="37"/>
  <c r="Q27" i="37"/>
  <c r="Y27" i="37"/>
  <c r="AA27" i="37"/>
  <c r="J27" i="37"/>
  <c r="R27" i="37"/>
  <c r="Z27" i="37"/>
  <c r="H11" i="4"/>
  <c r="H13" i="4" s="1"/>
  <c r="I47" i="37"/>
  <c r="I27" i="30"/>
  <c r="H16" i="18"/>
  <c r="G17" i="18"/>
  <c r="G15" i="4"/>
  <c r="G16" i="4" s="1"/>
  <c r="H15" i="18"/>
  <c r="H49" i="37"/>
  <c r="H50" i="37" s="1"/>
  <c r="I16" i="17"/>
  <c r="Q25" i="4"/>
  <c r="Q24" i="4" s="1"/>
  <c r="I20" i="17"/>
  <c r="I19" i="17" s="1"/>
  <c r="J15" i="17"/>
  <c r="F17" i="4"/>
  <c r="G51" i="30"/>
  <c r="E23" i="4"/>
  <c r="E25" i="4" s="1"/>
  <c r="E24" i="4" s="1"/>
  <c r="E19" i="4"/>
  <c r="E18" i="4" s="1"/>
  <c r="I12" i="37"/>
  <c r="I25" i="35" l="1"/>
  <c r="B20" i="37"/>
  <c r="L27" i="35" s="1"/>
  <c r="B27" i="37"/>
  <c r="I27" i="35" s="1"/>
  <c r="B30" i="1"/>
  <c r="E39" i="37"/>
  <c r="G37" i="37"/>
  <c r="G40" i="37" s="1"/>
  <c r="H30" i="37"/>
  <c r="G32" i="37"/>
  <c r="G38" i="37"/>
  <c r="G41" i="37" s="1"/>
  <c r="H36" i="37"/>
  <c r="P36" i="37"/>
  <c r="X36" i="37"/>
  <c r="I36" i="37"/>
  <c r="Y36" i="37"/>
  <c r="J36" i="37"/>
  <c r="R36" i="37"/>
  <c r="Z36" i="37"/>
  <c r="K36" i="37"/>
  <c r="S36" i="37"/>
  <c r="AA36" i="37"/>
  <c r="C36" i="37"/>
  <c r="M36" i="37"/>
  <c r="D36" i="37"/>
  <c r="L36" i="37"/>
  <c r="T36" i="37"/>
  <c r="E36" i="37"/>
  <c r="U36" i="37"/>
  <c r="Q36" i="37"/>
  <c r="F36" i="37"/>
  <c r="N36" i="37"/>
  <c r="V36" i="37"/>
  <c r="G36" i="37"/>
  <c r="O36" i="37"/>
  <c r="W36" i="37"/>
  <c r="H17" i="18"/>
  <c r="I16" i="18"/>
  <c r="I11" i="4"/>
  <c r="I13" i="4" s="1"/>
  <c r="J27" i="30"/>
  <c r="J47" i="37"/>
  <c r="I49" i="37"/>
  <c r="I50" i="37" s="1"/>
  <c r="I15" i="18"/>
  <c r="H15" i="4"/>
  <c r="H16" i="4" s="1"/>
  <c r="G17" i="4"/>
  <c r="H51" i="30"/>
  <c r="F23" i="4"/>
  <c r="F25" i="4" s="1"/>
  <c r="F24" i="4" s="1"/>
  <c r="F19" i="4"/>
  <c r="F18" i="4" s="1"/>
  <c r="I13" i="37"/>
  <c r="J12" i="37"/>
  <c r="J20" i="17"/>
  <c r="J19" i="17" s="1"/>
  <c r="K15" i="17"/>
  <c r="J16" i="17"/>
  <c r="B36" i="37" l="1"/>
  <c r="O12" i="35" s="1"/>
  <c r="Y39" i="37"/>
  <c r="I39" i="37"/>
  <c r="F39" i="37"/>
  <c r="X39" i="37"/>
  <c r="N39" i="37"/>
  <c r="O39" i="37"/>
  <c r="J39" i="37"/>
  <c r="S39" i="37"/>
  <c r="L39" i="37"/>
  <c r="C39" i="37"/>
  <c r="D39" i="37"/>
  <c r="R39" i="37"/>
  <c r="M39" i="37"/>
  <c r="AA39" i="37"/>
  <c r="V39" i="37"/>
  <c r="Q39" i="37"/>
  <c r="G39" i="37"/>
  <c r="U39" i="37"/>
  <c r="Z39" i="37"/>
  <c r="K39" i="37"/>
  <c r="H38" i="37"/>
  <c r="H41" i="37" s="1"/>
  <c r="H37" i="37"/>
  <c r="H40" i="37" s="1"/>
  <c r="H32" i="37"/>
  <c r="I30" i="37"/>
  <c r="P39" i="37"/>
  <c r="T39" i="37"/>
  <c r="H39" i="37"/>
  <c r="W39" i="37"/>
  <c r="J49" i="37"/>
  <c r="J50" i="37" s="1"/>
  <c r="J11" i="4"/>
  <c r="J13" i="4" s="1"/>
  <c r="K47" i="37"/>
  <c r="K27" i="30"/>
  <c r="I17" i="18"/>
  <c r="J23" i="37"/>
  <c r="J16" i="18"/>
  <c r="J15" i="18"/>
  <c r="I15" i="4"/>
  <c r="I16" i="4" s="1"/>
  <c r="K20" i="17"/>
  <c r="K19" i="17" s="1"/>
  <c r="L15" i="17"/>
  <c r="K16" i="17"/>
  <c r="J13" i="37"/>
  <c r="K12" i="37"/>
  <c r="H17" i="4"/>
  <c r="I51" i="30"/>
  <c r="G19" i="4"/>
  <c r="G18" i="4" s="1"/>
  <c r="G25" i="4"/>
  <c r="G24" i="4" s="1"/>
  <c r="B39" i="37" l="1"/>
  <c r="O11" i="35" s="1"/>
  <c r="I32" i="37"/>
  <c r="I38" i="37"/>
  <c r="I41" i="37" s="1"/>
  <c r="I37" i="37"/>
  <c r="I40" i="37" s="1"/>
  <c r="J30" i="37"/>
  <c r="K23" i="37"/>
  <c r="K16" i="18"/>
  <c r="J17" i="18"/>
  <c r="K49" i="37"/>
  <c r="K50" i="37" s="1"/>
  <c r="K11" i="4"/>
  <c r="K13" i="4" s="1"/>
  <c r="L47" i="37"/>
  <c r="L27" i="30"/>
  <c r="J15" i="4"/>
  <c r="J16" i="4" s="1"/>
  <c r="K15" i="18"/>
  <c r="L12" i="37"/>
  <c r="K13" i="37"/>
  <c r="L16" i="17"/>
  <c r="L20" i="17"/>
  <c r="L19" i="17" s="1"/>
  <c r="M15" i="17"/>
  <c r="I17" i="4"/>
  <c r="J51" i="30"/>
  <c r="H19" i="4"/>
  <c r="H18" i="4" s="1"/>
  <c r="H25" i="4"/>
  <c r="H24" i="4" s="1"/>
  <c r="J37" i="37" l="1"/>
  <c r="J40" i="37" s="1"/>
  <c r="K30" i="37"/>
  <c r="J32" i="37"/>
  <c r="J38" i="37"/>
  <c r="J41" i="37" s="1"/>
  <c r="L49" i="37"/>
  <c r="L50" i="37" s="1"/>
  <c r="M47" i="37"/>
  <c r="M27" i="30"/>
  <c r="L15" i="18"/>
  <c r="K15" i="4"/>
  <c r="K16" i="4" s="1"/>
  <c r="L16" i="18"/>
  <c r="K17" i="18"/>
  <c r="J17" i="4"/>
  <c r="K51" i="30"/>
  <c r="L51" i="30" s="1"/>
  <c r="I19" i="4"/>
  <c r="I25" i="4"/>
  <c r="I24" i="4" s="1"/>
  <c r="M16" i="17"/>
  <c r="M20" i="17"/>
  <c r="M19" i="17" s="1"/>
  <c r="M12" i="37"/>
  <c r="L13" i="37"/>
  <c r="K32" i="37" l="1"/>
  <c r="L30" i="37"/>
  <c r="L32" i="37" s="1"/>
  <c r="K38" i="37"/>
  <c r="K41" i="37" s="1"/>
  <c r="K37" i="37"/>
  <c r="K40" i="37" s="1"/>
  <c r="L17" i="18"/>
  <c r="M16" i="18"/>
  <c r="L15" i="4"/>
  <c r="L16" i="4" s="1"/>
  <c r="M15" i="18"/>
  <c r="N27" i="30"/>
  <c r="N47" i="37"/>
  <c r="M49" i="37"/>
  <c r="M50" i="37" s="1"/>
  <c r="N12" i="37"/>
  <c r="M13" i="37"/>
  <c r="K17" i="4"/>
  <c r="I28" i="4"/>
  <c r="I30" i="4" s="1"/>
  <c r="I18" i="4"/>
  <c r="I27" i="4" s="1"/>
  <c r="I29" i="4" s="1"/>
  <c r="J19" i="4"/>
  <c r="J18" i="4" s="1"/>
  <c r="J25" i="4"/>
  <c r="J24" i="4" s="1"/>
  <c r="O47" i="37" l="1"/>
  <c r="O49" i="37" s="1"/>
  <c r="O50" i="37" s="1"/>
  <c r="O27" i="30"/>
  <c r="L37" i="37"/>
  <c r="L40" i="37" s="1"/>
  <c r="L38" i="37"/>
  <c r="L41" i="37" s="1"/>
  <c r="M30" i="37"/>
  <c r="N13" i="37"/>
  <c r="O12" i="37"/>
  <c r="O13" i="37" s="1"/>
  <c r="N49" i="37"/>
  <c r="N50" i="37" s="1"/>
  <c r="N16" i="18"/>
  <c r="M17" i="18"/>
  <c r="N15" i="18"/>
  <c r="M15" i="4"/>
  <c r="M16" i="4" s="1"/>
  <c r="L29" i="35"/>
  <c r="L17" i="4"/>
  <c r="M51" i="30"/>
  <c r="K25" i="4"/>
  <c r="K24" i="4" s="1"/>
  <c r="K19" i="4"/>
  <c r="K18" i="4" s="1"/>
  <c r="P27" i="30" l="1"/>
  <c r="P47" i="37"/>
  <c r="M38" i="37"/>
  <c r="M41" i="37" s="1"/>
  <c r="N30" i="37"/>
  <c r="M32" i="37"/>
  <c r="M37" i="37"/>
  <c r="M40" i="37" s="1"/>
  <c r="P12" i="37"/>
  <c r="O15" i="18"/>
  <c r="N15" i="4"/>
  <c r="N16" i="4" s="1"/>
  <c r="O16" i="18"/>
  <c r="N17" i="18"/>
  <c r="M17" i="4"/>
  <c r="N51" i="30"/>
  <c r="L19" i="4"/>
  <c r="L18" i="4" s="1"/>
  <c r="L25" i="4"/>
  <c r="L24" i="4" s="1"/>
  <c r="N17" i="4" l="1"/>
  <c r="N25" i="4" s="1"/>
  <c r="N24" i="4" s="1"/>
  <c r="O51" i="30"/>
  <c r="P49" i="37"/>
  <c r="Q27" i="30"/>
  <c r="Q47" i="37"/>
  <c r="N38" i="37"/>
  <c r="O30" i="37"/>
  <c r="O37" i="37" s="1"/>
  <c r="N32" i="37"/>
  <c r="N37" i="37"/>
  <c r="N40" i="37" s="1"/>
  <c r="Q12" i="37"/>
  <c r="P13" i="37"/>
  <c r="O17" i="18"/>
  <c r="P16" i="18"/>
  <c r="O15" i="4"/>
  <c r="O16" i="4" s="1"/>
  <c r="P15" i="18"/>
  <c r="M19" i="4"/>
  <c r="M18" i="4" s="1"/>
  <c r="M25" i="4"/>
  <c r="M24" i="4" s="1"/>
  <c r="N19" i="4" l="1"/>
  <c r="N18" i="4" s="1"/>
  <c r="P50" i="37"/>
  <c r="P51" i="30"/>
  <c r="R17" i="4"/>
  <c r="Q49" i="37"/>
  <c r="Q50" i="37" s="1"/>
  <c r="R27" i="30"/>
  <c r="R47" i="37"/>
  <c r="O32" i="37"/>
  <c r="O38" i="37"/>
  <c r="P30" i="37"/>
  <c r="N41" i="37"/>
  <c r="R12" i="37"/>
  <c r="Q13" i="37"/>
  <c r="Q15" i="18"/>
  <c r="P15" i="4"/>
  <c r="P16" i="4" s="1"/>
  <c r="P17" i="18"/>
  <c r="Q16" i="18"/>
  <c r="R23" i="37" s="1"/>
  <c r="R19" i="4" l="1"/>
  <c r="R18" i="4" s="1"/>
  <c r="R25" i="4"/>
  <c r="R24" i="4" s="1"/>
  <c r="Q51" i="30"/>
  <c r="S17" i="4"/>
  <c r="S27" i="30"/>
  <c r="S47" i="37"/>
  <c r="R49" i="37"/>
  <c r="O41" i="37"/>
  <c r="O40" i="37"/>
  <c r="P37" i="37"/>
  <c r="P40" i="37" s="1"/>
  <c r="P38" i="37"/>
  <c r="P41" i="37" s="1"/>
  <c r="Q30" i="37"/>
  <c r="Q37" i="37" s="1"/>
  <c r="Q40" i="37" s="1"/>
  <c r="P32" i="37"/>
  <c r="S12" i="37"/>
  <c r="R13" i="37"/>
  <c r="Q17" i="18"/>
  <c r="R16" i="18"/>
  <c r="S23" i="37" s="1"/>
  <c r="Q15" i="4"/>
  <c r="Q16" i="4" s="1"/>
  <c r="R15" i="18"/>
  <c r="R50" i="37" l="1"/>
  <c r="S19" i="4"/>
  <c r="S18" i="4" s="1"/>
  <c r="S25" i="4"/>
  <c r="S24" i="4" s="1"/>
  <c r="T17" i="4"/>
  <c r="R51" i="30"/>
  <c r="S49" i="37"/>
  <c r="S50" i="37" s="1"/>
  <c r="T27" i="30"/>
  <c r="T47" i="37"/>
  <c r="Q32" i="37"/>
  <c r="Q38" i="37"/>
  <c r="Q41" i="37" s="1"/>
  <c r="R30" i="37"/>
  <c r="T12" i="37"/>
  <c r="S13" i="37"/>
  <c r="R15" i="4"/>
  <c r="R16" i="4" s="1"/>
  <c r="S15" i="18"/>
  <c r="R17" i="18"/>
  <c r="S16" i="18"/>
  <c r="T23" i="37" s="1"/>
  <c r="S51" i="30" l="1"/>
  <c r="U17" i="4"/>
  <c r="T19" i="4"/>
  <c r="T18" i="4" s="1"/>
  <c r="T25" i="4"/>
  <c r="T24" i="4" s="1"/>
  <c r="T49" i="37"/>
  <c r="U27" i="30"/>
  <c r="U47" i="37"/>
  <c r="S30" i="37"/>
  <c r="R32" i="37"/>
  <c r="R38" i="37"/>
  <c r="R37" i="37"/>
  <c r="U12" i="37"/>
  <c r="T13" i="37"/>
  <c r="T16" i="18"/>
  <c r="U23" i="37" s="1"/>
  <c r="S17" i="18"/>
  <c r="S15" i="4"/>
  <c r="S16" i="4" s="1"/>
  <c r="T15" i="18"/>
  <c r="T50" i="37" l="1"/>
  <c r="R41" i="37"/>
  <c r="R40" i="37"/>
  <c r="U19" i="4"/>
  <c r="U18" i="4" s="1"/>
  <c r="U25" i="4"/>
  <c r="U24" i="4" s="1"/>
  <c r="T51" i="30"/>
  <c r="V17" i="4"/>
  <c r="U49" i="37"/>
  <c r="V27" i="30"/>
  <c r="V47" i="37"/>
  <c r="S37" i="37"/>
  <c r="S32" i="37"/>
  <c r="S38" i="37"/>
  <c r="S41" i="37" s="1"/>
  <c r="T30" i="37"/>
  <c r="V12" i="37"/>
  <c r="U13" i="37"/>
  <c r="T15" i="4"/>
  <c r="T16" i="4" s="1"/>
  <c r="U15" i="18"/>
  <c r="T17" i="18"/>
  <c r="U16" i="18"/>
  <c r="V23" i="37" s="1"/>
  <c r="U50" i="37" l="1"/>
  <c r="S40" i="37"/>
  <c r="V19" i="4"/>
  <c r="V18" i="4" s="1"/>
  <c r="V25" i="4"/>
  <c r="V24" i="4" s="1"/>
  <c r="U51" i="30"/>
  <c r="W17" i="4"/>
  <c r="W27" i="30"/>
  <c r="W47" i="37"/>
  <c r="V49" i="37"/>
  <c r="V50" i="37" s="1"/>
  <c r="T37" i="37"/>
  <c r="U30" i="37"/>
  <c r="T32" i="37"/>
  <c r="T38" i="37"/>
  <c r="W12" i="37"/>
  <c r="V13" i="37"/>
  <c r="V16" i="18"/>
  <c r="W23" i="37" s="1"/>
  <c r="U17" i="18"/>
  <c r="V15" i="18"/>
  <c r="W15" i="18" s="1"/>
  <c r="X15" i="18" s="1"/>
  <c r="Y15" i="18" s="1"/>
  <c r="Z15" i="18" s="1"/>
  <c r="U15" i="4"/>
  <c r="U16" i="4" s="1"/>
  <c r="T41" i="37" l="1"/>
  <c r="T40" i="37"/>
  <c r="W19" i="4"/>
  <c r="W18" i="4" s="1"/>
  <c r="W25" i="4"/>
  <c r="W24" i="4" s="1"/>
  <c r="V51" i="30"/>
  <c r="X17" i="4"/>
  <c r="W49" i="37"/>
  <c r="W50" i="37" s="1"/>
  <c r="X27" i="30"/>
  <c r="X47" i="37"/>
  <c r="U32" i="37"/>
  <c r="V30" i="37"/>
  <c r="U37" i="37"/>
  <c r="U40" i="37" s="1"/>
  <c r="U38" i="37"/>
  <c r="X12" i="37"/>
  <c r="W13" i="37"/>
  <c r="V17" i="18"/>
  <c r="W16" i="18"/>
  <c r="X23" i="37" s="1"/>
  <c r="U41" i="37" l="1"/>
  <c r="X19" i="4"/>
  <c r="X18" i="4" s="1"/>
  <c r="X25" i="4"/>
  <c r="X24" i="4" s="1"/>
  <c r="W51" i="30"/>
  <c r="Y17" i="4"/>
  <c r="X49" i="37"/>
  <c r="X50" i="37" s="1"/>
  <c r="Y27" i="30"/>
  <c r="Z27" i="30" s="1"/>
  <c r="Y47" i="37"/>
  <c r="B47" i="37" s="1"/>
  <c r="L15" i="35" s="1"/>
  <c r="V32" i="37"/>
  <c r="W30" i="37"/>
  <c r="V38" i="37"/>
  <c r="V41" i="37" s="1"/>
  <c r="V37" i="37"/>
  <c r="V40" i="37" s="1"/>
  <c r="Y12" i="37"/>
  <c r="B16" i="37" s="1"/>
  <c r="F22" i="35" s="1"/>
  <c r="X13" i="37"/>
  <c r="W17" i="18"/>
  <c r="X16" i="18"/>
  <c r="Y23" i="37" s="1"/>
  <c r="B23" i="37" s="1"/>
  <c r="L31" i="35" s="1"/>
  <c r="B15" i="37" l="1"/>
  <c r="F19" i="35" s="1"/>
  <c r="Y19" i="4"/>
  <c r="Y18" i="4" s="1"/>
  <c r="Y25" i="4"/>
  <c r="Y24" i="4" s="1"/>
  <c r="X51" i="30"/>
  <c r="Y51" i="30" s="1"/>
  <c r="Z51" i="30" s="1"/>
  <c r="Z17" i="4"/>
  <c r="Y49" i="37"/>
  <c r="Y50" i="37" s="1"/>
  <c r="AA47" i="37"/>
  <c r="Z47" i="37"/>
  <c r="W38" i="37"/>
  <c r="W41" i="37" s="1"/>
  <c r="W37" i="37"/>
  <c r="W40" i="37" s="1"/>
  <c r="X30" i="37"/>
  <c r="W32" i="37"/>
  <c r="Z12" i="37"/>
  <c r="Y13" i="37"/>
  <c r="B13" i="37" s="1"/>
  <c r="F13" i="35" s="1"/>
  <c r="X17" i="18"/>
  <c r="Y16" i="18"/>
  <c r="Z23" i="37" s="1"/>
  <c r="B49" i="37" l="1"/>
  <c r="Z19" i="4"/>
  <c r="Z18" i="4" s="1"/>
  <c r="Z25" i="4"/>
  <c r="Z24" i="4" s="1"/>
  <c r="Z49" i="37"/>
  <c r="Z50" i="37" s="1"/>
  <c r="AA49" i="37"/>
  <c r="AA50" i="37" s="1"/>
  <c r="B50" i="37" s="1"/>
  <c r="L20" i="35" s="1"/>
  <c r="X38" i="37"/>
  <c r="X41" i="37" s="1"/>
  <c r="X32" i="37"/>
  <c r="Y30" i="37"/>
  <c r="B30" i="37" s="1"/>
  <c r="I29" i="35" s="1"/>
  <c r="X37" i="37"/>
  <c r="X40" i="37" s="1"/>
  <c r="AA12" i="37"/>
  <c r="AA13" i="37" s="1"/>
  <c r="B14" i="37" s="1"/>
  <c r="F16" i="35" s="1"/>
  <c r="Z13" i="37"/>
  <c r="Y17" i="18"/>
  <c r="Z16" i="18"/>
  <c r="Y38" i="37" l="1"/>
  <c r="Y41" i="37" s="1"/>
  <c r="B41" i="37" s="1"/>
  <c r="O26" i="35" s="1"/>
  <c r="Y37" i="37"/>
  <c r="Y40" i="37" s="1"/>
  <c r="B40" i="37" s="1"/>
  <c r="O18" i="35" s="1"/>
  <c r="Y32" i="37"/>
  <c r="B32" i="37" s="1"/>
  <c r="Z30" i="37"/>
  <c r="Z17" i="18"/>
  <c r="AA23" i="37"/>
  <c r="B38" i="37" l="1"/>
  <c r="O27" i="35" s="1"/>
  <c r="B37" i="37"/>
  <c r="O19" i="35" s="1"/>
  <c r="Z37" i="37"/>
  <c r="Z40" i="37" s="1"/>
  <c r="Z38" i="37"/>
  <c r="Z41" i="37" s="1"/>
  <c r="AA30" i="37"/>
  <c r="Z32" i="37"/>
  <c r="AA32" i="37" l="1"/>
  <c r="AA38" i="37"/>
  <c r="AA41" i="37" s="1"/>
  <c r="AA37" i="37"/>
  <c r="AA40" i="37" s="1"/>
  <c r="I23" i="37" l="1"/>
  <c r="D23" i="37"/>
  <c r="E23" i="37"/>
  <c r="H23" i="37"/>
  <c r="G23" i="37"/>
  <c r="F23" i="37"/>
  <c r="C16" i="37"/>
  <c r="C23" i="37"/>
</calcChain>
</file>

<file path=xl/sharedStrings.xml><?xml version="1.0" encoding="utf-8"?>
<sst xmlns="http://schemas.openxmlformats.org/spreadsheetml/2006/main" count="1031" uniqueCount="592">
  <si>
    <t>FICHE DE REVUE PROJET</t>
  </si>
  <si>
    <t>Référence: F-AFF-13</t>
  </si>
  <si>
    <t>Version: 03</t>
  </si>
  <si>
    <t>Date: Novembre 2024</t>
  </si>
  <si>
    <t>Dashboard</t>
  </si>
  <si>
    <t>Rédigé par</t>
  </si>
  <si>
    <t>Vérifié par</t>
  </si>
  <si>
    <t>Approuvé par</t>
  </si>
  <si>
    <t>Abdelkarim AMARA</t>
  </si>
  <si>
    <t>Nadia BOUKEF</t>
  </si>
  <si>
    <t>Ahmed SAHLI</t>
  </si>
  <si>
    <t>Directeur AMOA- Réseaux HD</t>
  </si>
  <si>
    <t>Responsable Management Qualité</t>
  </si>
  <si>
    <t>Directeur Général Adjoint</t>
  </si>
  <si>
    <t xml:space="preserve">Date </t>
  </si>
  <si>
    <t>Version</t>
  </si>
  <si>
    <t>Motif de mise à jour</t>
  </si>
  <si>
    <t>Création du document</t>
  </si>
  <si>
    <t>Ajout du sheet Statistique et séparation des KPI figures du dashboard</t>
  </si>
  <si>
    <t>Optimisation du fichier</t>
  </si>
  <si>
    <t>Identification / Decription du projet</t>
  </si>
  <si>
    <t>Project</t>
  </si>
  <si>
    <t>A24001 - PFS_AIE</t>
  </si>
  <si>
    <t>Contract ID</t>
  </si>
  <si>
    <t>003/C/MINEPAT/CTS/PFS-AIE/UGP/CCCM-SPI/CSPM</t>
  </si>
  <si>
    <t>Client</t>
  </si>
  <si>
    <t>Projet Filets Sociaux Adaptatifs et Inclusion Economique</t>
  </si>
  <si>
    <t>Project name</t>
  </si>
  <si>
    <t>Mise à jour technologique et mise à niveau du SIG-I pour integrer les besoins du projet Filets Sociaux adaptatifs et d'Inclusion Economique</t>
  </si>
  <si>
    <t>Project Description</t>
  </si>
  <si>
    <t>Bailleur de fonds</t>
  </si>
  <si>
    <t>Banque Mondiale (IDA)</t>
  </si>
  <si>
    <t>Modèle business (Seul/En groupement)</t>
  </si>
  <si>
    <t>Seul</t>
  </si>
  <si>
    <t>Type d'engagement Type (T&amp;M / FP)</t>
  </si>
  <si>
    <t>FP</t>
  </si>
  <si>
    <t>Project manager</t>
  </si>
  <si>
    <t>Ahmed Amine Amiri</t>
  </si>
  <si>
    <t>Date de démarrage</t>
  </si>
  <si>
    <t>Date de fin prévue</t>
  </si>
  <si>
    <t>Durée du contrat Duration (En jours)</t>
  </si>
  <si>
    <t>Statut contractuel et financier initial (DI)</t>
  </si>
  <si>
    <t>Devise Projet</t>
  </si>
  <si>
    <t>FCFA</t>
  </si>
  <si>
    <t>Budget initial TO (incluant licences &amp; soutraitances)</t>
  </si>
  <si>
    <t>Budget Licences &amp; soutraitance (Initial)</t>
  </si>
  <si>
    <t>Avenant (O/N)</t>
  </si>
  <si>
    <t>Non</t>
  </si>
  <si>
    <t>Montant Avenant</t>
  </si>
  <si>
    <t>Total avenants</t>
  </si>
  <si>
    <t>Budget total (avenants inclus)</t>
  </si>
  <si>
    <t>Budget initial TO (incluant licences &amp; soutraitances) en TND</t>
  </si>
  <si>
    <t>Budget Projet Rémunération en TND</t>
  </si>
  <si>
    <t>Total avenants en TND</t>
  </si>
  <si>
    <t>Budget total (avenants inclus) en TND</t>
  </si>
  <si>
    <t>PPR (Provision Pour Risques) en TND</t>
  </si>
  <si>
    <t>PPP (Provision Pour Pénalités) en TND</t>
  </si>
  <si>
    <t>Coût Total en TND (DI)</t>
  </si>
  <si>
    <t>Marge nette vendue %</t>
  </si>
  <si>
    <t>Marge nette vendue en TND</t>
  </si>
  <si>
    <t>Workload vendu avenants inclus en JH</t>
  </si>
  <si>
    <t>Workload initial en JH</t>
  </si>
  <si>
    <t>Workload avenants en JH</t>
  </si>
  <si>
    <t>Workload Garantie en JH</t>
  </si>
  <si>
    <t>Ressource</t>
  </si>
  <si>
    <t>TCC 2024</t>
  </si>
  <si>
    <t>TCC (inclus FG)</t>
  </si>
  <si>
    <t>TCC 2025</t>
  </si>
  <si>
    <t>TCC 2025 (inclus FG)</t>
  </si>
  <si>
    <t>Ahmed HAMADI</t>
  </si>
  <si>
    <t>ASMA BELGHUITH</t>
  </si>
  <si>
    <t>AYMEN ABID</t>
  </si>
  <si>
    <t>DORSAF BABAY</t>
  </si>
  <si>
    <t>FATEN ZNAIDI</t>
  </si>
  <si>
    <t>HASSEN BEN HMIDA</t>
  </si>
  <si>
    <t>ISLEM BEN SAID</t>
  </si>
  <si>
    <t>MOATEZ ZNAIDI</t>
  </si>
  <si>
    <t>NIDHAL MAROUANI</t>
  </si>
  <si>
    <t>RAMI LOULOU</t>
  </si>
  <si>
    <t>WAFA BOUSETTA</t>
  </si>
  <si>
    <t>AHMED AMINE AMIRI</t>
  </si>
  <si>
    <t>WAFA CHAABENI</t>
  </si>
  <si>
    <t>FARAH BOUAKLINE</t>
  </si>
  <si>
    <t>Syrine Dridi</t>
  </si>
  <si>
    <t>Slim AMIRI</t>
  </si>
  <si>
    <t>Makram MAHFOUDH</t>
  </si>
  <si>
    <t>Safouene BEN GALI</t>
  </si>
  <si>
    <t>Total</t>
  </si>
  <si>
    <t>Autres Frais</t>
  </si>
  <si>
    <t>Coût d'achat (DT)</t>
  </si>
  <si>
    <t>Coût de vente (DI/contrat) en DT</t>
  </si>
  <si>
    <t>Taux de change</t>
  </si>
  <si>
    <t>Frais de mission (Perdiem)</t>
  </si>
  <si>
    <t>Frais de mission (Billet)</t>
  </si>
  <si>
    <t>Autres</t>
  </si>
  <si>
    <t>Responsable</t>
  </si>
  <si>
    <t>RAS</t>
  </si>
  <si>
    <t>Description</t>
  </si>
  <si>
    <t>Financier</t>
  </si>
  <si>
    <t>Contrat</t>
  </si>
  <si>
    <t>N°</t>
  </si>
  <si>
    <t>Unité</t>
  </si>
  <si>
    <t>Montant</t>
  </si>
  <si>
    <t>%</t>
  </si>
  <si>
    <t>Asma Belghith</t>
  </si>
  <si>
    <t>Wafa Boussetta</t>
  </si>
  <si>
    <t>BA</t>
  </si>
  <si>
    <t>Billet</t>
  </si>
  <si>
    <t>Devise</t>
  </si>
  <si>
    <t>TABLEAU DE BORD</t>
  </si>
  <si>
    <t>KPIs Projet</t>
  </si>
  <si>
    <t>Affaire</t>
  </si>
  <si>
    <t>Evolution KPIs</t>
  </si>
  <si>
    <t>Retour</t>
  </si>
  <si>
    <t>Intitulé</t>
  </si>
  <si>
    <t>Montant Affaire</t>
  </si>
  <si>
    <t>Date debut</t>
  </si>
  <si>
    <t>Date fin revue</t>
  </si>
  <si>
    <t xml:space="preserve"> Jours-hommes</t>
  </si>
  <si>
    <t>Marge nette vendue</t>
  </si>
  <si>
    <t>Prévus global</t>
  </si>
  <si>
    <t>DELAIS</t>
  </si>
  <si>
    <t>Mise à jour contrat</t>
  </si>
  <si>
    <t>Reste (en mois) y compris  période de garantie</t>
  </si>
  <si>
    <t xml:space="preserve">Durée cont. (jours) </t>
  </si>
  <si>
    <t>Consommés</t>
  </si>
  <si>
    <t>EARNED VALUE</t>
  </si>
  <si>
    <t>Mise à jour avancement</t>
  </si>
  <si>
    <t>Marge nette actuelle</t>
  </si>
  <si>
    <t>Chef de Projet</t>
  </si>
  <si>
    <t>Reste à Faire</t>
  </si>
  <si>
    <t>DELIVERY</t>
  </si>
  <si>
    <t>Mise à jour facturation</t>
  </si>
  <si>
    <t>Dérive</t>
  </si>
  <si>
    <t>Mois</t>
  </si>
  <si>
    <t>FACTURATION</t>
  </si>
  <si>
    <t>Date fin prév.</t>
  </si>
  <si>
    <t>Chiffre d'affaires</t>
  </si>
  <si>
    <t>Faits marquants</t>
  </si>
  <si>
    <t>Derive (en mois)</t>
  </si>
  <si>
    <t>Marge nette EAC</t>
  </si>
  <si>
    <t>Coût initial</t>
  </si>
  <si>
    <t>CA. Production</t>
  </si>
  <si>
    <t>Coût réel cumulé</t>
  </si>
  <si>
    <t>Facturé</t>
  </si>
  <si>
    <t>Coût ETC</t>
  </si>
  <si>
    <t>Stock</t>
  </si>
  <si>
    <t>N° de facture</t>
  </si>
  <si>
    <t>Objet</t>
  </si>
  <si>
    <t>Reste à facturer en TND</t>
  </si>
  <si>
    <t>Emise (Oui/Non)</t>
  </si>
  <si>
    <t>Date initiale</t>
  </si>
  <si>
    <t>Date prévisonnelle actualisée</t>
  </si>
  <si>
    <t>Date réelle</t>
  </si>
  <si>
    <t>Commentaires</t>
  </si>
  <si>
    <t>Facture 1</t>
  </si>
  <si>
    <t>Facture Sprint 1</t>
  </si>
  <si>
    <t>Oui</t>
  </si>
  <si>
    <t>Facture 2</t>
  </si>
  <si>
    <t>Facture Sprint 2+3+4</t>
  </si>
  <si>
    <t>Facture 3</t>
  </si>
  <si>
    <t>Facture Sprint 5+6</t>
  </si>
  <si>
    <t>Facture 4</t>
  </si>
  <si>
    <t>Facture Sprint 7+8</t>
  </si>
  <si>
    <t>Facture 5</t>
  </si>
  <si>
    <t>Facture Sprint 9+10</t>
  </si>
  <si>
    <t>Facture 6</t>
  </si>
  <si>
    <t>Facture Sprint 11+12</t>
  </si>
  <si>
    <t>Facture 7</t>
  </si>
  <si>
    <t>MNT 18 premiers mois</t>
  </si>
  <si>
    <t>Facture 8</t>
  </si>
  <si>
    <t>MNT 6 derniers mois</t>
  </si>
  <si>
    <t>Montant prévu</t>
  </si>
  <si>
    <t>Montant facturé</t>
  </si>
  <si>
    <t>MOIS SELECTIONNÉ</t>
  </si>
  <si>
    <t>Projet</t>
  </si>
  <si>
    <t>Date début</t>
  </si>
  <si>
    <t>Durée du projet (J)</t>
  </si>
  <si>
    <t>BUDGET ET DATES</t>
  </si>
  <si>
    <t>Mois selectionné</t>
  </si>
  <si>
    <t>Montant affaire</t>
  </si>
  <si>
    <t>Date fin prévisionnelle (estimation chef de projet)</t>
  </si>
  <si>
    <t>Montant honoraires</t>
  </si>
  <si>
    <t>TAUX D'AVANCEMENT GLOBAL</t>
  </si>
  <si>
    <t>Consommation des délais</t>
  </si>
  <si>
    <t>Earned Value</t>
  </si>
  <si>
    <t>Delivery</t>
  </si>
  <si>
    <t>Facturation</t>
  </si>
  <si>
    <t>CHIFFRE D'AFFAIRES</t>
  </si>
  <si>
    <t>CA Production TND</t>
  </si>
  <si>
    <t>Autres frais facturés</t>
  </si>
  <si>
    <t>CA Facturé TND</t>
  </si>
  <si>
    <t>COÛTS</t>
  </si>
  <si>
    <t>Coût réel (mois)</t>
  </si>
  <si>
    <t>Autres coûts</t>
  </si>
  <si>
    <t>Coût réel cumul</t>
  </si>
  <si>
    <t>Coût prévisionnel RAF ETC</t>
  </si>
  <si>
    <t>Coût prévisionnel EAC</t>
  </si>
  <si>
    <t>MARGE NETTE</t>
  </si>
  <si>
    <t>Marge nette vendue TND</t>
  </si>
  <si>
    <t>Marge nette actuelle TND</t>
  </si>
  <si>
    <t>Marge nette EAC TND</t>
  </si>
  <si>
    <t>Marge nette actuelle %</t>
  </si>
  <si>
    <t>Marge nette EAC %</t>
  </si>
  <si>
    <t>CHARGE HOMME-JOUR</t>
  </si>
  <si>
    <t>Charge prevue globale</t>
  </si>
  <si>
    <t>Consommés mois en cours (HJ)</t>
  </si>
  <si>
    <t>Consommés cumul  (HJ)</t>
  </si>
  <si>
    <t>Reste à faire global (HJ) ETC</t>
  </si>
  <si>
    <t>Reste à faire global (HJ) EAC</t>
  </si>
  <si>
    <t>FAITS MARQUANTS</t>
  </si>
  <si>
    <t>Observations et faits marquants</t>
  </si>
  <si>
    <t>à prévoir les frais de déplacement de AHB (à facturer)</t>
  </si>
  <si>
    <t>Mois en cours</t>
  </si>
  <si>
    <t>Plan de charge</t>
  </si>
  <si>
    <t>Ahmed Hamadi</t>
  </si>
  <si>
    <t>Aymen Abid</t>
  </si>
  <si>
    <t>Dorsaf Babay</t>
  </si>
  <si>
    <t>Faten Zenaidi</t>
  </si>
  <si>
    <t>Hassen Ben Hamida</t>
  </si>
  <si>
    <t>Islem Bensaid</t>
  </si>
  <si>
    <t>Moataz Zenaidi</t>
  </si>
  <si>
    <t>Nidhal Marouani</t>
  </si>
  <si>
    <t>Rami Loulou</t>
  </si>
  <si>
    <t>Slim Amiri</t>
  </si>
  <si>
    <t>Ahmed Amine AMIRI</t>
  </si>
  <si>
    <t>Estimation To Complet (ETC)</t>
  </si>
  <si>
    <t>Coût Prévisionnel</t>
  </si>
  <si>
    <t>Cumul</t>
  </si>
  <si>
    <t xml:space="preserve">PHASE </t>
  </si>
  <si>
    <t>Poste</t>
  </si>
  <si>
    <t>Date prévisionnel</t>
  </si>
  <si>
    <t>Date Début</t>
  </si>
  <si>
    <t>Date Fin</t>
  </si>
  <si>
    <t>Nom Bénéficiaire</t>
  </si>
  <si>
    <t>Timbre</t>
  </si>
  <si>
    <t>Séjour</t>
  </si>
  <si>
    <t>Perdiem €</t>
  </si>
  <si>
    <t>Perdiem DT</t>
  </si>
  <si>
    <t>Coût  /Mission</t>
  </si>
  <si>
    <t>Sprint 11</t>
  </si>
  <si>
    <t>Chef de mission</t>
  </si>
  <si>
    <t>Ahmed BERRED</t>
  </si>
  <si>
    <t>Faten Znaidi</t>
  </si>
  <si>
    <t xml:space="preserve">TOTAL </t>
  </si>
  <si>
    <t>Facture 2025-05 du 03/02/2025</t>
  </si>
  <si>
    <t>Voyage/ Billet</t>
  </si>
  <si>
    <t>Perdiem</t>
  </si>
  <si>
    <t>Transport</t>
  </si>
  <si>
    <t>Total consommé</t>
  </si>
  <si>
    <t>RAC</t>
  </si>
  <si>
    <t>Total contrat HT (DT)</t>
  </si>
  <si>
    <t>Total contrat HT (FCFA)</t>
  </si>
  <si>
    <t>Num échéance</t>
  </si>
  <si>
    <t>Evènement</t>
  </si>
  <si>
    <t>Montant en TND</t>
  </si>
  <si>
    <t>Cumul facturation</t>
  </si>
  <si>
    <t>Cumul facturation %</t>
  </si>
  <si>
    <t>Reste à facturer %</t>
  </si>
  <si>
    <t>Date prévisionnelle</t>
  </si>
  <si>
    <t>30/9/2024</t>
  </si>
  <si>
    <t>Statut</t>
  </si>
  <si>
    <t>Réglé
(si facturé) O/N</t>
  </si>
  <si>
    <t>Montant payé (Si réglé)</t>
  </si>
  <si>
    <t>Cumul payé</t>
  </si>
  <si>
    <t>Payé le 21/08/2024</t>
  </si>
  <si>
    <t>Total Rémunération (HT)</t>
  </si>
  <si>
    <t>N° échéance</t>
  </si>
  <si>
    <t>Commentaires2</t>
  </si>
  <si>
    <t>Imputation Actuel</t>
  </si>
  <si>
    <t>Coût Actuel</t>
  </si>
  <si>
    <t>Total frais:</t>
  </si>
  <si>
    <t>Totah Rémunération (HT)</t>
  </si>
  <si>
    <t>Consommé:</t>
  </si>
  <si>
    <t>Reste à consommer:</t>
  </si>
  <si>
    <t xml:space="preserve">Oui </t>
  </si>
  <si>
    <t>Facture n°24-02</t>
  </si>
  <si>
    <t>Facture n°24-07</t>
  </si>
  <si>
    <t>Facture n°24-08</t>
  </si>
  <si>
    <t>Facture n°24-09</t>
  </si>
  <si>
    <t>Facture n°24-10</t>
  </si>
  <si>
    <t>Facture n°2025-05</t>
  </si>
  <si>
    <t>Facture n°2025-17</t>
  </si>
  <si>
    <t xml:space="preserve">Période de développement </t>
  </si>
  <si>
    <t>Période de garantie</t>
  </si>
  <si>
    <t>Statut contractuel et financier</t>
  </si>
  <si>
    <t>Budget Licences &amp; soutraitance (Initial) en TND</t>
  </si>
  <si>
    <t>PPP(Provision Pour Pénalités) en TND</t>
  </si>
  <si>
    <t>Workload total en JH</t>
  </si>
  <si>
    <t>Date fin actualisée</t>
  </si>
  <si>
    <t>Durée actualisée (j)</t>
  </si>
  <si>
    <t>Avancement délais</t>
  </si>
  <si>
    <t>Phase actuelle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</si>
  <si>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</si>
  <si>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</si>
  <si>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</si>
  <si>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</si>
  <si>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</si>
  <si>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</si>
  <si>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</si>
  <si>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</si>
  <si>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</si>
  <si>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</si>
  <si>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12</t>
  </si>
  <si>
    <t>Earned Value %</t>
  </si>
  <si>
    <t>Delivery %</t>
  </si>
  <si>
    <t>Charge totale consommée JH</t>
  </si>
  <si>
    <t>RAF JH</t>
  </si>
  <si>
    <t>Dérive JH</t>
  </si>
  <si>
    <t>Cumul CA production TND</t>
  </si>
  <si>
    <t>Total facturé TND</t>
  </si>
  <si>
    <t>FAE/Stock TND</t>
  </si>
  <si>
    <t>Coût actuel TND (cumul)</t>
  </si>
  <si>
    <t>Marge %</t>
  </si>
  <si>
    <t>Marge Net TND</t>
  </si>
  <si>
    <t>Situation prévisionnelle à l'atterrissage (EAC)</t>
  </si>
  <si>
    <t>Coûts prévisionnels pour finaliser le projet TND</t>
  </si>
  <si>
    <t>EAC Marge %</t>
  </si>
  <si>
    <t>EAC Marge TND</t>
  </si>
  <si>
    <t>Date fin prévisionnelle (estimation chef du projet)</t>
  </si>
  <si>
    <t>TND EAC ASP</t>
  </si>
  <si>
    <t>TND EAC ASP VAR</t>
  </si>
  <si>
    <t>TND EAC ADW</t>
  </si>
  <si>
    <t>TND EAC ADW VAR</t>
  </si>
  <si>
    <t>Staffing / Equipe projet</t>
  </si>
  <si>
    <t>Profils projets</t>
  </si>
  <si>
    <t>Collaborateurs</t>
  </si>
  <si>
    <t>Date de début</t>
  </si>
  <si>
    <t>Date de fin</t>
  </si>
  <si>
    <t>Taux de staffing %</t>
  </si>
  <si>
    <t>Identification</t>
  </si>
  <si>
    <t>Exigences</t>
  </si>
  <si>
    <t>Impact</t>
  </si>
  <si>
    <t>Partenaires</t>
  </si>
  <si>
    <t>Bailleur de fond</t>
  </si>
  <si>
    <t>Phase</t>
  </si>
  <si>
    <t>Désignation du livrable</t>
  </si>
  <si>
    <t>Date de livraison prévue</t>
  </si>
  <si>
    <t>Livré?</t>
  </si>
  <si>
    <t>Date de livraison</t>
  </si>
  <si>
    <t>Delivery (%)</t>
  </si>
  <si>
    <r>
      <t>L10</t>
    </r>
    <r>
      <rPr>
        <sz val="10"/>
        <color rgb="FF000000"/>
        <rFont val="Arial"/>
        <family val="2"/>
      </rPr>
      <t xml:space="preserve"> Plan d’assurance qualité (PAQ) de l’étape 1 </t>
    </r>
  </si>
  <si>
    <r>
      <t>L11</t>
    </r>
    <r>
      <rPr>
        <sz val="10"/>
        <color rgb="FF000000"/>
        <rFont val="Arial"/>
        <family val="2"/>
      </rPr>
      <t xml:space="preserve"> Spécifications fonctionnelles détaillées de l’étape 1</t>
    </r>
  </si>
  <si>
    <r>
      <t>L12</t>
    </r>
    <r>
      <rPr>
        <sz val="10"/>
        <color rgb="FF000000"/>
        <rFont val="Arial"/>
        <family val="2"/>
      </rPr>
      <t xml:space="preserve"> Spécifications techniques détaillées de l’étape 1</t>
    </r>
  </si>
  <si>
    <r>
      <t>L13</t>
    </r>
    <r>
      <rPr>
        <sz val="10"/>
        <color rgb="FF000000"/>
        <rFont val="Arial"/>
        <family val="2"/>
      </rPr>
      <t xml:space="preserve"> Manuel d’utilisation version 1</t>
    </r>
  </si>
  <si>
    <r>
      <t>L14</t>
    </r>
    <r>
      <rPr>
        <sz val="10"/>
        <color rgb="FF000000"/>
        <rFont val="Arial"/>
        <family val="2"/>
      </rPr>
      <t xml:space="preserve"> Manuel d’installation et d’administration version 1</t>
    </r>
  </si>
  <si>
    <r>
      <t>L15</t>
    </r>
    <r>
      <rPr>
        <sz val="10"/>
        <color rgb="FF000000"/>
        <rFont val="Arial"/>
        <family val="2"/>
      </rPr>
      <t xml:space="preserve"> Version 1 du Système</t>
    </r>
  </si>
  <si>
    <r>
      <t>L16</t>
    </r>
    <r>
      <rPr>
        <sz val="10"/>
        <color rgb="FF000000"/>
        <rFont val="Arial"/>
        <family val="2"/>
      </rPr>
      <t xml:space="preserve"> SIG-I amélioré</t>
    </r>
  </si>
  <si>
    <r>
      <t>L17</t>
    </r>
    <r>
      <rPr>
        <sz val="10"/>
        <color rgb="FF000000"/>
        <rFont val="Arial"/>
        <family val="2"/>
      </rPr>
      <t xml:space="preserve"> Manuels de formation technique sur Angular et SpringBoot</t>
    </r>
  </si>
  <si>
    <r>
      <t>L18</t>
    </r>
    <r>
      <rPr>
        <sz val="10"/>
        <color rgb="FF000000"/>
        <rFont val="Arial"/>
        <family val="2"/>
      </rPr>
      <t xml:space="preserve"> Rapport de formation</t>
    </r>
  </si>
  <si>
    <r>
      <t>L20</t>
    </r>
    <r>
      <rPr>
        <sz val="10"/>
        <color rgb="FF000000"/>
        <rFont val="Arial"/>
        <family val="2"/>
      </rPr>
      <t xml:space="preserve"> Plan d’assurance qualité (PAQ) de l’étape 2 </t>
    </r>
  </si>
  <si>
    <r>
      <t>L21</t>
    </r>
    <r>
      <rPr>
        <sz val="10"/>
        <color rgb="FF000000"/>
        <rFont val="Arial"/>
        <family val="2"/>
      </rPr>
      <t xml:space="preserve"> Spécifications fonctionnelles détaillées de l’étape 2</t>
    </r>
  </si>
  <si>
    <r>
      <t>L22</t>
    </r>
    <r>
      <rPr>
        <sz val="10"/>
        <color rgb="FF000000"/>
        <rFont val="Arial"/>
        <family val="2"/>
      </rPr>
      <t xml:space="preserve"> Spécifications techniques détaillées de l’étape 2</t>
    </r>
  </si>
  <si>
    <r>
      <t>L23</t>
    </r>
    <r>
      <rPr>
        <sz val="10"/>
        <color rgb="FF000000"/>
        <rFont val="Arial"/>
        <family val="2"/>
      </rPr>
      <t xml:space="preserve"> Manuel d’utilisation version 2</t>
    </r>
  </si>
  <si>
    <r>
      <t>L24</t>
    </r>
    <r>
      <rPr>
        <sz val="10"/>
        <color rgb="FF000000"/>
        <rFont val="Arial"/>
        <family val="2"/>
      </rPr>
      <t xml:space="preserve"> Manuel d’installation et d’administration version 2</t>
    </r>
  </si>
  <si>
    <r>
      <t>L25</t>
    </r>
    <r>
      <rPr>
        <sz val="10"/>
        <color rgb="FF000000"/>
        <rFont val="Arial"/>
        <family val="2"/>
      </rPr>
      <t xml:space="preserve"> Version 2 du Système</t>
    </r>
  </si>
  <si>
    <r>
      <t>L30</t>
    </r>
    <r>
      <rPr>
        <sz val="10"/>
        <color rgb="FF000000"/>
        <rFont val="Arial"/>
        <family val="2"/>
      </rPr>
      <t xml:space="preserve"> Plan d’assurance qualité (PAQ) de l’étape 3 </t>
    </r>
  </si>
  <si>
    <r>
      <t>L31</t>
    </r>
    <r>
      <rPr>
        <sz val="10"/>
        <color rgb="FF000000"/>
        <rFont val="Arial"/>
        <family val="2"/>
      </rPr>
      <t xml:space="preserve"> Spécifications fonctionnelles détaillées de l’étape 3</t>
    </r>
  </si>
  <si>
    <r>
      <t>L32</t>
    </r>
    <r>
      <rPr>
        <sz val="10"/>
        <color rgb="FF000000"/>
        <rFont val="Arial"/>
        <family val="2"/>
      </rPr>
      <t xml:space="preserve"> Spécifications techniques détaillées de l’étape 3</t>
    </r>
  </si>
  <si>
    <r>
      <t>L33</t>
    </r>
    <r>
      <rPr>
        <sz val="10"/>
        <color rgb="FF000000"/>
        <rFont val="Arial"/>
        <family val="2"/>
      </rPr>
      <t xml:space="preserve"> Manuel d’utilisation version 3</t>
    </r>
  </si>
  <si>
    <r>
      <t>L34</t>
    </r>
    <r>
      <rPr>
        <sz val="10"/>
        <color rgb="FF000000"/>
        <rFont val="Arial"/>
        <family val="2"/>
      </rPr>
      <t xml:space="preserve"> Manuel d’installation et d’administration version 3</t>
    </r>
  </si>
  <si>
    <r>
      <t>L35</t>
    </r>
    <r>
      <rPr>
        <sz val="10"/>
        <color rgb="FF000000"/>
        <rFont val="Arial"/>
        <family val="2"/>
      </rPr>
      <t xml:space="preserve"> Version 3 du Système</t>
    </r>
  </si>
  <si>
    <r>
      <t>L40</t>
    </r>
    <r>
      <rPr>
        <sz val="10"/>
        <color rgb="FF000000"/>
        <rFont val="Arial"/>
        <family val="2"/>
      </rPr>
      <t xml:space="preserve"> Plan d’assurance qualité (PAQ) de l’étape 4 </t>
    </r>
  </si>
  <si>
    <r>
      <t>L41</t>
    </r>
    <r>
      <rPr>
        <sz val="10"/>
        <color rgb="FF000000"/>
        <rFont val="Arial"/>
        <family val="2"/>
      </rPr>
      <t xml:space="preserve"> Spécifications fonctionnelles détaillées de l’étape 4</t>
    </r>
  </si>
  <si>
    <r>
      <t>L42</t>
    </r>
    <r>
      <rPr>
        <sz val="10"/>
        <color rgb="FF000000"/>
        <rFont val="Arial"/>
        <family val="2"/>
      </rPr>
      <t xml:space="preserve"> Spécifications techniques détaillées de l’étape 4</t>
    </r>
  </si>
  <si>
    <r>
      <t>L43</t>
    </r>
    <r>
      <rPr>
        <sz val="10"/>
        <color rgb="FF000000"/>
        <rFont val="Arial"/>
        <family val="2"/>
      </rPr>
      <t xml:space="preserve"> Manuel d’utilisation version 4</t>
    </r>
  </si>
  <si>
    <r>
      <t>L44</t>
    </r>
    <r>
      <rPr>
        <sz val="10"/>
        <color rgb="FF000000"/>
        <rFont val="Arial"/>
        <family val="2"/>
      </rPr>
      <t xml:space="preserve"> Manuel d’installation et d’administration version 4</t>
    </r>
  </si>
  <si>
    <r>
      <t>L45</t>
    </r>
    <r>
      <rPr>
        <sz val="10"/>
        <color rgb="FF000000"/>
        <rFont val="Arial"/>
        <family val="2"/>
      </rPr>
      <t xml:space="preserve"> Version 4 du Système</t>
    </r>
  </si>
  <si>
    <r>
      <t>L50</t>
    </r>
    <r>
      <rPr>
        <sz val="10"/>
        <color rgb="FF000000"/>
        <rFont val="Arial"/>
        <family val="2"/>
      </rPr>
      <t xml:space="preserve"> Plan d’assurance qualité (PAQ) de l’étape 5 </t>
    </r>
  </si>
  <si>
    <r>
      <t>L51</t>
    </r>
    <r>
      <rPr>
        <sz val="10"/>
        <color rgb="FF000000"/>
        <rFont val="Arial"/>
        <family val="2"/>
      </rPr>
      <t xml:space="preserve"> Spécifications fonctionnelles détaillées de l’étape 5</t>
    </r>
  </si>
  <si>
    <r>
      <t>L52</t>
    </r>
    <r>
      <rPr>
        <sz val="10"/>
        <color rgb="FF000000"/>
        <rFont val="Arial"/>
        <family val="2"/>
      </rPr>
      <t xml:space="preserve"> Spécifications techniques détaillées de l’étape 5</t>
    </r>
  </si>
  <si>
    <r>
      <t>L53</t>
    </r>
    <r>
      <rPr>
        <sz val="10"/>
        <color rgb="FF000000"/>
        <rFont val="Arial"/>
        <family val="2"/>
      </rPr>
      <t xml:space="preserve"> Manuel d’utilisation version 5</t>
    </r>
  </si>
  <si>
    <r>
      <t>L54</t>
    </r>
    <r>
      <rPr>
        <sz val="10"/>
        <color rgb="FF000000"/>
        <rFont val="Arial"/>
        <family val="2"/>
      </rPr>
      <t xml:space="preserve"> Manuel d’installation et d’administration version 5</t>
    </r>
  </si>
  <si>
    <r>
      <t>L55</t>
    </r>
    <r>
      <rPr>
        <sz val="10"/>
        <color rgb="FF000000"/>
        <rFont val="Arial"/>
        <family val="2"/>
      </rPr>
      <t xml:space="preserve"> Version 5 du Système</t>
    </r>
  </si>
  <si>
    <r>
      <t>L60</t>
    </r>
    <r>
      <rPr>
        <sz val="10"/>
        <color rgb="FF000000"/>
        <rFont val="Arial"/>
        <family val="2"/>
      </rPr>
      <t xml:space="preserve"> Plan d’assurance qualité (PAQ) de l’étape 6 </t>
    </r>
  </si>
  <si>
    <r>
      <t>L61</t>
    </r>
    <r>
      <rPr>
        <sz val="10"/>
        <color rgb="FF000000"/>
        <rFont val="Arial"/>
        <family val="2"/>
      </rPr>
      <t xml:space="preserve"> Spécifications fonctionnelles détaillées de l’étape 6</t>
    </r>
  </si>
  <si>
    <r>
      <t>L62</t>
    </r>
    <r>
      <rPr>
        <sz val="10"/>
        <color rgb="FF000000"/>
        <rFont val="Arial"/>
        <family val="2"/>
      </rPr>
      <t xml:space="preserve"> Spécifications techniques détaillées de l’étape 6</t>
    </r>
  </si>
  <si>
    <r>
      <t>L63</t>
    </r>
    <r>
      <rPr>
        <sz val="10"/>
        <color rgb="FF000000"/>
        <rFont val="Arial"/>
        <family val="2"/>
      </rPr>
      <t xml:space="preserve"> Manuel d’utilisation version 6</t>
    </r>
  </si>
  <si>
    <r>
      <t>L64</t>
    </r>
    <r>
      <rPr>
        <sz val="10"/>
        <color rgb="FF000000"/>
        <rFont val="Arial"/>
        <family val="2"/>
      </rPr>
      <t xml:space="preserve"> Manuel d’installation et d’administration version 6</t>
    </r>
  </si>
  <si>
    <r>
      <t>L65</t>
    </r>
    <r>
      <rPr>
        <sz val="10"/>
        <color rgb="FF000000"/>
        <rFont val="Arial"/>
        <family val="2"/>
      </rPr>
      <t xml:space="preserve"> Version 6 du Système</t>
    </r>
  </si>
  <si>
    <r>
      <t>L70</t>
    </r>
    <r>
      <rPr>
        <sz val="10"/>
        <color rgb="FF000000"/>
        <rFont val="Arial"/>
        <family val="2"/>
      </rPr>
      <t xml:space="preserve"> Plan d’assurance qualité (PAQ) de l’étape 7 </t>
    </r>
  </si>
  <si>
    <r>
      <t>L71</t>
    </r>
    <r>
      <rPr>
        <sz val="10"/>
        <color rgb="FF000000"/>
        <rFont val="Arial"/>
        <family val="2"/>
      </rPr>
      <t xml:space="preserve"> Spécifications fonctionnelles détaillées de l’étape 7</t>
    </r>
  </si>
  <si>
    <r>
      <t>L72</t>
    </r>
    <r>
      <rPr>
        <sz val="10"/>
        <color rgb="FF000000"/>
        <rFont val="Arial"/>
        <family val="2"/>
      </rPr>
      <t xml:space="preserve"> Spécifications techniques détaillées de l’étape 7</t>
    </r>
  </si>
  <si>
    <r>
      <t>L73</t>
    </r>
    <r>
      <rPr>
        <sz val="10"/>
        <color rgb="FF000000"/>
        <rFont val="Arial"/>
        <family val="2"/>
      </rPr>
      <t xml:space="preserve"> Manuel d’utilisation version 7</t>
    </r>
  </si>
  <si>
    <r>
      <t>L74</t>
    </r>
    <r>
      <rPr>
        <sz val="10"/>
        <color rgb="FF000000"/>
        <rFont val="Arial"/>
        <family val="2"/>
      </rPr>
      <t xml:space="preserve"> Manuel d’installation et d’administration version 7</t>
    </r>
  </si>
  <si>
    <r>
      <t>L75</t>
    </r>
    <r>
      <rPr>
        <sz val="10"/>
        <color rgb="FF000000"/>
        <rFont val="Arial"/>
        <family val="2"/>
      </rPr>
      <t xml:space="preserve"> Version 7 du Système</t>
    </r>
  </si>
  <si>
    <r>
      <t>L80</t>
    </r>
    <r>
      <rPr>
        <sz val="10"/>
        <color rgb="FF000000"/>
        <rFont val="Arial"/>
        <family val="2"/>
      </rPr>
      <t xml:space="preserve"> Plan d’assurance qualité (PAQ) de l’étape 8 </t>
    </r>
  </si>
  <si>
    <r>
      <t>L81</t>
    </r>
    <r>
      <rPr>
        <sz val="10"/>
        <color rgb="FF000000"/>
        <rFont val="Arial"/>
        <family val="2"/>
      </rPr>
      <t xml:space="preserve"> Spécifications fonctionnelles détaillées de l’étape 8</t>
    </r>
  </si>
  <si>
    <r>
      <t>L82</t>
    </r>
    <r>
      <rPr>
        <sz val="10"/>
        <color rgb="FF000000"/>
        <rFont val="Arial"/>
        <family val="2"/>
      </rPr>
      <t xml:space="preserve"> Spécifications techniques détaillées de l’étape 8</t>
    </r>
  </si>
  <si>
    <r>
      <t>L83</t>
    </r>
    <r>
      <rPr>
        <sz val="10"/>
        <color rgb="FF000000"/>
        <rFont val="Arial"/>
        <family val="2"/>
      </rPr>
      <t xml:space="preserve"> Manuel d’utilisation version 8</t>
    </r>
  </si>
  <si>
    <r>
      <t>L84</t>
    </r>
    <r>
      <rPr>
        <sz val="10"/>
        <color rgb="FF000000"/>
        <rFont val="Arial"/>
        <family val="2"/>
      </rPr>
      <t xml:space="preserve"> Manuel d’installation et d’administration version 8</t>
    </r>
  </si>
  <si>
    <r>
      <t>L85</t>
    </r>
    <r>
      <rPr>
        <sz val="10"/>
        <color rgb="FF000000"/>
        <rFont val="Arial"/>
        <family val="2"/>
      </rPr>
      <t xml:space="preserve"> Version 8 du Système</t>
    </r>
  </si>
  <si>
    <r>
      <t>L90</t>
    </r>
    <r>
      <rPr>
        <sz val="10"/>
        <color rgb="FF000000"/>
        <rFont val="Arial"/>
        <family val="2"/>
      </rPr>
      <t xml:space="preserve"> Plan d’assurance qualité (PAQ) de l’étape 9 </t>
    </r>
  </si>
  <si>
    <r>
      <t>L91</t>
    </r>
    <r>
      <rPr>
        <sz val="10"/>
        <color rgb="FF000000"/>
        <rFont val="Arial"/>
        <family val="2"/>
      </rPr>
      <t xml:space="preserve"> Spécifications fonctionnelles détaillées de l’étape 9</t>
    </r>
  </si>
  <si>
    <r>
      <t>L92</t>
    </r>
    <r>
      <rPr>
        <sz val="10"/>
        <color rgb="FF000000"/>
        <rFont val="Arial"/>
        <family val="2"/>
      </rPr>
      <t xml:space="preserve"> Spécifications techniques détaillées de l’étape 9</t>
    </r>
  </si>
  <si>
    <r>
      <t>L93</t>
    </r>
    <r>
      <rPr>
        <sz val="10"/>
        <color rgb="FF000000"/>
        <rFont val="Arial"/>
        <family val="2"/>
      </rPr>
      <t xml:space="preserve"> Manuel d’utilisation version 9</t>
    </r>
  </si>
  <si>
    <r>
      <t>L94</t>
    </r>
    <r>
      <rPr>
        <sz val="10"/>
        <color rgb="FF000000"/>
        <rFont val="Arial"/>
        <family val="2"/>
      </rPr>
      <t xml:space="preserve"> Manuel d’installation et d’administration version 9</t>
    </r>
  </si>
  <si>
    <r>
      <t>L95</t>
    </r>
    <r>
      <rPr>
        <sz val="10"/>
        <color rgb="FF000000"/>
        <rFont val="Arial"/>
        <family val="2"/>
      </rPr>
      <t xml:space="preserve"> Version 9 du Système</t>
    </r>
  </si>
  <si>
    <r>
      <t>L100</t>
    </r>
    <r>
      <rPr>
        <sz val="10"/>
        <color rgb="FF000000"/>
        <rFont val="Arial"/>
        <family val="2"/>
      </rPr>
      <t xml:space="preserve"> Plan d’assurance qualité (PAQ) de l’étape 10 </t>
    </r>
  </si>
  <si>
    <r>
      <t>L101</t>
    </r>
    <r>
      <rPr>
        <sz val="10"/>
        <color rgb="FF000000"/>
        <rFont val="Arial"/>
        <family val="2"/>
      </rPr>
      <t xml:space="preserve"> Spécifications fonctionnelles détaillées de l’étape 10</t>
    </r>
  </si>
  <si>
    <r>
      <t>L102</t>
    </r>
    <r>
      <rPr>
        <sz val="10"/>
        <color rgb="FF000000"/>
        <rFont val="Arial"/>
        <family val="2"/>
      </rPr>
      <t xml:space="preserve"> Spécifications techniques détaillées de l’étape 10</t>
    </r>
  </si>
  <si>
    <r>
      <t>L103</t>
    </r>
    <r>
      <rPr>
        <sz val="10"/>
        <color rgb="FF000000"/>
        <rFont val="Arial"/>
        <family val="2"/>
      </rPr>
      <t xml:space="preserve"> Manuel d’utilisation version 10</t>
    </r>
  </si>
  <si>
    <r>
      <t>L104</t>
    </r>
    <r>
      <rPr>
        <sz val="10"/>
        <color rgb="FF000000"/>
        <rFont val="Arial"/>
        <family val="2"/>
      </rPr>
      <t xml:space="preserve"> Manuel d’installation et d’administration version 10</t>
    </r>
  </si>
  <si>
    <r>
      <t>L105</t>
    </r>
    <r>
      <rPr>
        <sz val="10"/>
        <color rgb="FF000000"/>
        <rFont val="Arial"/>
        <family val="2"/>
      </rPr>
      <t xml:space="preserve"> Version 10 du Système</t>
    </r>
  </si>
  <si>
    <r>
      <t>L110</t>
    </r>
    <r>
      <rPr>
        <sz val="10"/>
        <color rgb="FF000000"/>
        <rFont val="Arial"/>
        <family val="2"/>
      </rPr>
      <t xml:space="preserve"> Plan d’assurance qualité (PAQ) de l’étape 11 </t>
    </r>
  </si>
  <si>
    <r>
      <t>L111</t>
    </r>
    <r>
      <rPr>
        <sz val="10"/>
        <color rgb="FF000000"/>
        <rFont val="Arial"/>
        <family val="2"/>
      </rPr>
      <t xml:space="preserve"> Spécifications fonctionnelles détaillées de l’étape 11</t>
    </r>
  </si>
  <si>
    <r>
      <t>L112</t>
    </r>
    <r>
      <rPr>
        <sz val="10"/>
        <color rgb="FF000000"/>
        <rFont val="Arial"/>
        <family val="2"/>
      </rPr>
      <t xml:space="preserve"> Spécifications techniques détaillées de l’étape 11</t>
    </r>
  </si>
  <si>
    <r>
      <t>L113</t>
    </r>
    <r>
      <rPr>
        <sz val="10"/>
        <color rgb="FF000000"/>
        <rFont val="Arial"/>
        <family val="2"/>
      </rPr>
      <t xml:space="preserve"> Manuel d’utilisation version 11</t>
    </r>
  </si>
  <si>
    <r>
      <t>L114</t>
    </r>
    <r>
      <rPr>
        <sz val="10"/>
        <color rgb="FF000000"/>
        <rFont val="Arial"/>
        <family val="2"/>
      </rPr>
      <t xml:space="preserve"> Manuel d’installation et d’administration version 11</t>
    </r>
  </si>
  <si>
    <r>
      <t>L115</t>
    </r>
    <r>
      <rPr>
        <sz val="10"/>
        <color rgb="FF000000"/>
        <rFont val="Arial"/>
        <family val="2"/>
      </rPr>
      <t xml:space="preserve"> Version 11 du Système</t>
    </r>
  </si>
  <si>
    <r>
      <t>L120</t>
    </r>
    <r>
      <rPr>
        <sz val="10"/>
        <color rgb="FF000000"/>
        <rFont val="Arial"/>
        <family val="2"/>
      </rPr>
      <t xml:space="preserve"> Plan d’assurance qualité (PAQ) de l’étape 12 </t>
    </r>
  </si>
  <si>
    <r>
      <t>L121</t>
    </r>
    <r>
      <rPr>
        <sz val="10"/>
        <color rgb="FF000000"/>
        <rFont val="Arial"/>
        <family val="2"/>
      </rPr>
      <t xml:space="preserve"> Spécifications fonctionnelles détaillées de l’étape 12</t>
    </r>
  </si>
  <si>
    <r>
      <t>L122</t>
    </r>
    <r>
      <rPr>
        <sz val="10"/>
        <color rgb="FF000000"/>
        <rFont val="Arial"/>
        <family val="2"/>
      </rPr>
      <t xml:space="preserve"> Spécifications techniques détaillées de l’étape 12</t>
    </r>
  </si>
  <si>
    <r>
      <t>L123</t>
    </r>
    <r>
      <rPr>
        <sz val="10"/>
        <color rgb="FF000000"/>
        <rFont val="Arial"/>
        <family val="2"/>
      </rPr>
      <t xml:space="preserve"> Manuel d’utilisation version 12</t>
    </r>
  </si>
  <si>
    <r>
      <t>L124</t>
    </r>
    <r>
      <rPr>
        <sz val="10"/>
        <color rgb="FF000000"/>
        <rFont val="Arial"/>
        <family val="2"/>
      </rPr>
      <t xml:space="preserve"> Manuel d’installation et d’administration version 12</t>
    </r>
  </si>
  <si>
    <r>
      <t>L125</t>
    </r>
    <r>
      <rPr>
        <sz val="10"/>
        <color rgb="FF000000"/>
        <rFont val="Arial"/>
        <family val="2"/>
      </rPr>
      <t xml:space="preserve"> Version 12 du Système</t>
    </r>
  </si>
  <si>
    <t>Maintenance 12 mois</t>
  </si>
  <si>
    <t>Après 6 mois de maintenance à partir de la fin du mois 12</t>
  </si>
  <si>
    <t>Rapport de maintenance curative</t>
  </si>
  <si>
    <t>Rapport de maintenance évolutive (Facultatif)</t>
  </si>
  <si>
    <t>Rapport de maintenance préventive (Facultatif)</t>
  </si>
  <si>
    <t xml:space="preserve">Après 6 mois de maintenance à partir de la fin du mois 18 </t>
  </si>
  <si>
    <t>Risques Projet</t>
  </si>
  <si>
    <t>Id</t>
  </si>
  <si>
    <t>Actif</t>
  </si>
  <si>
    <t>Libellé</t>
  </si>
  <si>
    <r>
      <t xml:space="preserve">Description de l'impact
</t>
    </r>
    <r>
      <rPr>
        <sz val="10"/>
        <color theme="0"/>
        <rFont val="Aptos Narrow"/>
        <family val="2"/>
        <scheme val="minor"/>
      </rPr>
      <t>(qu'est ce qui peut arriver ?)</t>
    </r>
  </si>
  <si>
    <t>Type de risque</t>
  </si>
  <si>
    <t>Sévérité, Gravité</t>
  </si>
  <si>
    <t>Probabilité</t>
  </si>
  <si>
    <r>
      <t xml:space="preserve">Risques
</t>
    </r>
    <r>
      <rPr>
        <sz val="10"/>
        <color theme="0"/>
        <rFont val="Aptos Narrow"/>
        <family val="2"/>
        <scheme val="minor"/>
      </rPr>
      <t>ou</t>
    </r>
    <r>
      <rPr>
        <b/>
        <sz val="10"/>
        <color theme="0"/>
        <rFont val="Aptos Narrow"/>
        <family val="2"/>
        <scheme val="minor"/>
      </rPr>
      <t xml:space="preserve">
pénalités</t>
    </r>
  </si>
  <si>
    <r>
      <t xml:space="preserve">Impact 
</t>
    </r>
    <r>
      <rPr>
        <sz val="9"/>
        <color theme="0"/>
        <rFont val="Aptos Narrow"/>
        <family val="2"/>
        <scheme val="minor"/>
      </rPr>
      <t>(coût en TND pour ST2i)</t>
    </r>
  </si>
  <si>
    <r>
      <t xml:space="preserve">Impact pondéré
</t>
    </r>
    <r>
      <rPr>
        <sz val="10"/>
        <color theme="0"/>
        <rFont val="Aptos Narrow"/>
        <family val="2"/>
        <scheme val="minor"/>
      </rPr>
      <t>(Prob. X Imp.)</t>
    </r>
  </si>
  <si>
    <t>Traitement</t>
  </si>
  <si>
    <t>Id Mesure</t>
  </si>
  <si>
    <r>
      <t xml:space="preserve">Mesure : action préventive ou corrective
</t>
    </r>
    <r>
      <rPr>
        <sz val="10"/>
        <color theme="0"/>
        <rFont val="Aptos Narrow"/>
        <family val="2"/>
        <scheme val="minor"/>
      </rPr>
      <t>(diminuant la probabilité ou l'impact)</t>
    </r>
  </si>
  <si>
    <r>
      <t xml:space="preserve">Coût estimé
</t>
    </r>
    <r>
      <rPr>
        <b/>
        <sz val="9"/>
        <color theme="0"/>
        <rFont val="Aptos Narrow"/>
        <family val="2"/>
        <scheme val="minor"/>
      </rPr>
      <t>(en TND pour ST2i)</t>
    </r>
  </si>
  <si>
    <t>Action réalisée?</t>
  </si>
  <si>
    <t>Date de clôture</t>
  </si>
  <si>
    <t>Efficience</t>
  </si>
  <si>
    <t>Provision pondérée initiale</t>
  </si>
  <si>
    <t/>
  </si>
  <si>
    <t>Liste des actions du projet</t>
  </si>
  <si>
    <t>Code</t>
  </si>
  <si>
    <t>Constat/ Action</t>
  </si>
  <si>
    <t>Partie Prenante</t>
  </si>
  <si>
    <t>Origine</t>
  </si>
  <si>
    <t>Plan d'action</t>
  </si>
  <si>
    <t>Resp</t>
  </si>
  <si>
    <t>Date réalisation prévu</t>
  </si>
  <si>
    <t>% de réalisation</t>
  </si>
  <si>
    <t>Date réalisation Réelle</t>
  </si>
  <si>
    <t>Suivi de l'efficacité</t>
  </si>
  <si>
    <t>Clôture</t>
  </si>
  <si>
    <t>Date</t>
  </si>
  <si>
    <t>Efficace O/N</t>
  </si>
  <si>
    <t>Analyse des causes</t>
  </si>
  <si>
    <t>Type d'action</t>
  </si>
  <si>
    <t>Sous action</t>
  </si>
  <si>
    <t>O/N</t>
  </si>
  <si>
    <t>Changements Projet</t>
  </si>
  <si>
    <t>Demande de changement</t>
  </si>
  <si>
    <t>Demandeur</t>
  </si>
  <si>
    <t>Impact du changement</t>
  </si>
  <si>
    <t>Changement validé?</t>
  </si>
  <si>
    <t>Date limite de réalisation</t>
  </si>
  <si>
    <t>Réalisé
O/N</t>
  </si>
  <si>
    <t>Date de réalisation</t>
  </si>
  <si>
    <t>Date de suivi d'efficacité</t>
  </si>
  <si>
    <t>Date avenant</t>
  </si>
  <si>
    <t>JH</t>
  </si>
  <si>
    <t>Garantie JH</t>
  </si>
  <si>
    <t>Montant TND</t>
  </si>
  <si>
    <t>PPR TND</t>
  </si>
  <si>
    <t>PPP TND</t>
  </si>
  <si>
    <t>Coûts TND</t>
  </si>
  <si>
    <t>Marge nette TND</t>
  </si>
  <si>
    <t>Marge nette %</t>
  </si>
  <si>
    <t>GLOSSAIRE DES INDICATEURS DE MANAGEMENT DES PROJETS</t>
  </si>
  <si>
    <t>Indicateur</t>
  </si>
  <si>
    <t xml:space="preserve">Signification </t>
  </si>
  <si>
    <t>Méthode de calcul/estimation</t>
  </si>
  <si>
    <t>Taux d'avancement réel du projet</t>
  </si>
  <si>
    <t>A déduire depuis l’avancement des tâches élémentaires du projet (à extraire depuis l'avancement du planning du projet) ou à estimer par le chef du projet (méthode d'estimation à l'appui)</t>
  </si>
  <si>
    <t>Delivrery</t>
  </si>
  <si>
    <t>Taux de livraison qui mesure la part des éléments livrés par rapport à ce qui était planifié
Selon le projet, un livrable peut être un rapport, un module, une mise à disposition de ressources, une dépense prévue ou toute prestation ou partie de prestation prévue dans le cadre du contrat</t>
  </si>
  <si>
    <t>Delivery= (Nombre de livrables   réalisés/ Nombre de livrables planifiés) ×100</t>
  </si>
  <si>
    <t>Charge totale consommée</t>
  </si>
  <si>
    <t>Total des imputations de l’équipe projet  en homme-jour à date</t>
  </si>
  <si>
    <t>A extraire depuis KIMAI et remplir la feuille du coût actualisé</t>
  </si>
  <si>
    <t>RAF (Reste à Faire)</t>
  </si>
  <si>
    <r>
      <t xml:space="preserve">Selon les tâches restantes du projet, estimer la charge en homme-jour encore nécessaire pour achever toutes les tâches restantes du projetl.
</t>
    </r>
    <r>
      <rPr>
        <b/>
        <sz val="10"/>
        <color theme="1"/>
        <rFont val="Aptos Narrow"/>
        <family val="2"/>
        <scheme val="minor"/>
      </rPr>
      <t xml:space="preserve">Il n’est pas forcément lié aux estimations initiales du projet </t>
    </r>
  </si>
  <si>
    <t>RAF= Charge restante en HJ  (A extraire depuis le plan de charges actualisé) -Charges totales consommées</t>
  </si>
  <si>
    <t>Correspond au dépassement des charges en homme-jours par rapport aux prévisions initiales qui est mentionné dans le DI</t>
  </si>
  <si>
    <t>Dérives= Charges vendues (mentionnés dans le DI) -Charges totales consommées -RAF</t>
  </si>
  <si>
    <t>Cumul CA Production</t>
  </si>
  <si>
    <t>Budget correspondant au travail effectué, indépendamment du budget réellement dépensé</t>
  </si>
  <si>
    <t>Cumul CA Production= Total contrat X Taux d'avancement du projet (EV%)</t>
  </si>
  <si>
    <t>CA correspondant au travail fourni mais non encore facturé</t>
  </si>
  <si>
    <t>FAE= CA Production - Total Facturé</t>
  </si>
  <si>
    <t>Marge nette prévue dans le devis interne</t>
  </si>
  <si>
    <r>
      <t xml:space="preserve">A extraire depuis le Devis Interne
</t>
    </r>
    <r>
      <rPr>
        <b/>
        <sz val="10"/>
        <color theme="1"/>
        <rFont val="Aptos Narrow"/>
        <family val="2"/>
        <scheme val="minor"/>
      </rPr>
      <t>Marge Nette vendue = (Prix de vente-Côut total projet)/Prix de vente</t>
    </r>
  </si>
  <si>
    <t>Marge nette à date en DT, elle mesure la rentabilité du projet après avoir déduit toutes les dépenses, y compris les autres charges (frais remboursables, autres frais).</t>
  </si>
  <si>
    <t>Marge Nette Actuelle = Cumul CA production-Côut actuel à date</t>
  </si>
  <si>
    <t>Marge actuelle</t>
  </si>
  <si>
    <t>Mesure la rentabilité du projet à date (taux en %)</t>
  </si>
  <si>
    <t>% Marge actuelle= Marge nette actuelle / Cumul CA production à date</t>
  </si>
  <si>
    <r>
      <t>Marge estimée à la finalisation du projet (</t>
    </r>
    <r>
      <rPr>
        <b/>
        <sz val="10"/>
        <color theme="1"/>
        <rFont val="Aptos Narrow"/>
        <family val="2"/>
        <scheme val="minor"/>
      </rPr>
      <t>EAC:Estimate at Completion</t>
    </r>
    <r>
      <rPr>
        <sz val="10"/>
        <color theme="1"/>
        <rFont val="Aptos Narrow"/>
        <family val="2"/>
        <scheme val="minor"/>
      </rPr>
      <t>)</t>
    </r>
  </si>
  <si>
    <t>Marge Nette EAC=Budget total- (Coût actuel + coût prévisionnel)</t>
  </si>
  <si>
    <t>ETC</t>
  </si>
  <si>
    <r>
      <rPr>
        <b/>
        <sz val="10"/>
        <color theme="1"/>
        <rFont val="Aptos Narrow"/>
        <family val="2"/>
        <scheme val="minor"/>
      </rPr>
      <t>Estimation To Complete</t>
    </r>
    <r>
      <rPr>
        <sz val="10"/>
        <color theme="1"/>
        <rFont val="Aptos Narrow"/>
        <family val="2"/>
        <scheme val="minor"/>
      </rPr>
      <t>: coût prévisionnel du reste à faire ,  c'est le budget restant à consommer pour terminer le projet.</t>
    </r>
  </si>
  <si>
    <r>
      <t xml:space="preserve">A extraire du coût prévisionnel
</t>
    </r>
    <r>
      <rPr>
        <b/>
        <sz val="10"/>
        <color theme="1"/>
        <rFont val="Aptos Narrow"/>
        <family val="2"/>
        <scheme val="minor"/>
      </rPr>
      <t xml:space="preserve">ETC= </t>
    </r>
    <r>
      <rPr>
        <b/>
        <sz val="10"/>
        <color theme="1"/>
        <rFont val="Aptos Narrow"/>
        <family val="2"/>
      </rPr>
      <t xml:space="preserve">∑ </t>
    </r>
    <r>
      <rPr>
        <b/>
        <sz val="10"/>
        <color theme="1"/>
        <rFont val="Aptos Narrow"/>
        <family val="2"/>
        <scheme val="minor"/>
      </rPr>
      <t>(Charges estimées restantes X TCC)</t>
    </r>
  </si>
  <si>
    <t>EAC</t>
  </si>
  <si>
    <r>
      <rPr>
        <b/>
        <sz val="10"/>
        <color theme="1"/>
        <rFont val="Aptos Narrow"/>
        <family val="2"/>
        <scheme val="minor"/>
      </rPr>
      <t>Estimate at Completion:</t>
    </r>
    <r>
      <rPr>
        <sz val="10"/>
        <color theme="1"/>
        <rFont val="Aptos Narrow"/>
        <family val="2"/>
        <scheme val="minor"/>
      </rPr>
      <t xml:space="preserve"> c'est le budget réévalué et estimé pour consommer tout le projet</t>
    </r>
  </si>
  <si>
    <t>EAC=ETC+ Coût actuel</t>
  </si>
  <si>
    <t>Côut actuel</t>
  </si>
  <si>
    <t>C'est la somme des TCC multipliés par la charge consommée</t>
  </si>
  <si>
    <t>Coût actuel = Charge totale consommée X TCC</t>
  </si>
  <si>
    <t>Total facturé</t>
  </si>
  <si>
    <t>C'est la somme des factures émises en HT à date</t>
  </si>
  <si>
    <r>
      <rPr>
        <b/>
        <sz val="10"/>
        <color theme="1"/>
        <rFont val="Aptos Narrow"/>
        <family val="2"/>
      </rPr>
      <t xml:space="preserve">∑ </t>
    </r>
    <r>
      <rPr>
        <b/>
        <sz val="10"/>
        <color theme="1"/>
        <rFont val="Aptos Narrow"/>
        <family val="2"/>
        <scheme val="minor"/>
      </rPr>
      <t>Factures émises à date</t>
    </r>
  </si>
  <si>
    <t>TCC</t>
  </si>
  <si>
    <r>
      <rPr>
        <b/>
        <sz val="10"/>
        <color theme="1"/>
        <rFont val="Aptos Narrow"/>
        <family val="2"/>
        <scheme val="minor"/>
      </rPr>
      <t xml:space="preserve">Toutes Charges Comprises: </t>
    </r>
    <r>
      <rPr>
        <sz val="10"/>
        <color theme="1"/>
        <rFont val="Aptos Narrow"/>
        <family val="2"/>
        <scheme val="minor"/>
      </rPr>
      <t>c'est le coût total du collaborateur y compris le coût salarial, achats et fournitures pour le projet et les autres coûts indirects de l'entreprise (frais administratifs, moyer, électricité et eau, entretien, utilitaires…)</t>
    </r>
  </si>
  <si>
    <r>
      <t>TCC= Coût salarial  + Autres coûts</t>
    </r>
    <r>
      <rPr>
        <sz val="10"/>
        <color theme="1"/>
        <rFont val="Aptos Narrow"/>
        <family val="2"/>
        <scheme val="minor"/>
      </rPr>
      <t xml:space="preserve"> (généralement estimés à 70% des coûts salariales)</t>
    </r>
  </si>
  <si>
    <t>Description probabilité</t>
  </si>
  <si>
    <t>Valeur</t>
  </si>
  <si>
    <t>Affichage client</t>
  </si>
  <si>
    <t>Risque éteint</t>
  </si>
  <si>
    <t>Très peu probable</t>
  </si>
  <si>
    <t>Peu probable</t>
  </si>
  <si>
    <t>Probable</t>
  </si>
  <si>
    <t>Très probable</t>
  </si>
  <si>
    <t>Avéré</t>
  </si>
  <si>
    <t>Description sévérité</t>
  </si>
  <si>
    <t>Valeur sévérité</t>
  </si>
  <si>
    <t>Exemples client</t>
  </si>
  <si>
    <t>Exemples ST2i</t>
  </si>
  <si>
    <t>Max %</t>
  </si>
  <si>
    <t>Max TND</t>
  </si>
  <si>
    <t>Mineur</t>
  </si>
  <si>
    <t>Ressenti marginal, cosmétique</t>
  </si>
  <si>
    <t>Coûts/délais/qualité inchangés</t>
  </si>
  <si>
    <t>Modéré</t>
  </si>
  <si>
    <t>Le problème a un impact, sensible mais acceptable pour le client</t>
  </si>
  <si>
    <t>Coûts/délais/qualité restent dans les hypothèses basses</t>
  </si>
  <si>
    <t>Majeur</t>
  </si>
  <si>
    <t>Le business du client est impacté, fonctionne avec difficulté</t>
  </si>
  <si>
    <t>Coûts/délais/qualité impactés</t>
  </si>
  <si>
    <t>Critique</t>
  </si>
  <si>
    <t>Le cœur de métier du client est fortement impacté, la chaine ne fonctionne plus</t>
  </si>
  <si>
    <t>Arrêt du projet</t>
  </si>
  <si>
    <t>10,0% et +</t>
  </si>
  <si>
    <t>100 kTND et +</t>
  </si>
  <si>
    <t>Description traitement</t>
  </si>
  <si>
    <t>Classes d'actifs</t>
  </si>
  <si>
    <t>Réduction</t>
  </si>
  <si>
    <t>Le risque est en cours de traitement, on tente de le réduire (actions)</t>
  </si>
  <si>
    <t>Tous</t>
  </si>
  <si>
    <t>Acceptation</t>
  </si>
  <si>
    <t>On accepte le risque en totalité ou résiduel, après réduction</t>
  </si>
  <si>
    <t>Collaborateurs ST2i</t>
  </si>
  <si>
    <t>Evitement</t>
  </si>
  <si>
    <t>Le risque n'est plus là, suite par exemple à une action de fond</t>
  </si>
  <si>
    <t>Transfert</t>
  </si>
  <si>
    <t>On externalise la responsabilité du risque à un sous-traitant par contrat</t>
  </si>
  <si>
    <t>Organisation ST2i</t>
  </si>
  <si>
    <t>Réputation / image de marque</t>
  </si>
  <si>
    <t>Services généraux</t>
  </si>
  <si>
    <t>VigiReport</t>
  </si>
  <si>
    <t>Types de risques</t>
  </si>
  <si>
    <t>Description efficience</t>
  </si>
  <si>
    <t>SI à réaliser ou exploiter</t>
  </si>
  <si>
    <t>(Aucun)</t>
  </si>
  <si>
    <t>Très satisfaisant</t>
  </si>
  <si>
    <t>SI ST2i</t>
  </si>
  <si>
    <t>Juridique</t>
  </si>
  <si>
    <t>Satisfaisant</t>
  </si>
  <si>
    <t>SI du client</t>
  </si>
  <si>
    <t>Insuffisant</t>
  </si>
  <si>
    <t>Partenaire</t>
  </si>
  <si>
    <t>Stabilité des exigences client</t>
  </si>
  <si>
    <t>Très insuffisant</t>
  </si>
  <si>
    <t>Autre actif</t>
  </si>
  <si>
    <t>Faisabilité technique</t>
  </si>
  <si>
    <t>Sécurité prestation</t>
  </si>
  <si>
    <t>Mois du projet</t>
  </si>
  <si>
    <t>Tenue des conventions de service</t>
  </si>
  <si>
    <t>Délai</t>
  </si>
  <si>
    <t>Recette</t>
  </si>
  <si>
    <t>Organisation humaine</t>
  </si>
  <si>
    <t>Satisf. client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</si>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</sst>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3" formatCode="_ * #,##0.00_)_ ;_ * \(#,##0.00\)_ ;_ * &quot;-&quot;??_)_ ;_ @_ "/>
    <numFmt numFmtId="164" formatCode="_-* #,##0.00\ &quot;DT&quot;_-;\-* #,##0.00\ &quot;DT&quot;_-;_-* &quot;-&quot;??\ &quot;DT&quot;_-;_-@_-"/>
    <numFmt numFmtId="165" formatCode="_-* #,##0.00_-;\-* #,##0.00_-;_-* &quot;-&quot;??_-;_-@_-"/>
    <numFmt numFmtId="166" formatCode="_ * #,##0.00_)\ &quot;DT&quot;_ ;_ * \(#,##0.00\)\ &quot;DT&quot;_ ;_ * &quot;-&quot;??_)\ &quot;DT&quot;_ ;_ @_ "/>
    <numFmt numFmtId="167" formatCode="_-* #,##0.00\ &quot;€&quot;_-;\-* #,##0.00\ &quot;€&quot;_-;_-* &quot;-&quot;??\ &quot;€&quot;_-;_-@_-"/>
    <numFmt numFmtId="168" formatCode="ddd\,\ m/d/yyyy"/>
    <numFmt numFmtId="169" formatCode="m/d/yy;@"/>
    <numFmt numFmtId="170" formatCode="0.0%"/>
    <numFmt numFmtId="171" formatCode="#,##0.000"/>
    <numFmt numFmtId="172" formatCode="_ * #,##0_)_ ;_ * \(#,##0\)_ ;_ * &quot;-&quot;??_)_ ;_ @_ "/>
    <numFmt numFmtId="173" formatCode="_-* #,##0.00_-;_-* #,##0.00\-;_-* &quot;-&quot;??_-;_-@_-"/>
    <numFmt numFmtId="174" formatCode="0.000"/>
    <numFmt numFmtId="175" formatCode="[$-40C]mmm\-yy;@"/>
    <numFmt numFmtId="176" formatCode="[$-40C]d\ mmmm\ yyyy;@"/>
    <numFmt numFmtId="177" formatCode="#,##0\ &quot;DT&quot;"/>
    <numFmt numFmtId="178" formatCode="&quot;TABLEAU DE BORD - Mois : &quot;mmm\-yy"/>
    <numFmt numFmtId="179" formatCode="0.0"/>
    <numFmt numFmtId="180" formatCode="#,##0.000\ &quot;DT&quot;"/>
    <numFmt numFmtId="181" formatCode="_-* #,##0.000\ &quot;DT&quot;_-;\-* #,##0.000\ &quot;DT&quot;_-;_-* &quot;-&quot;???\ &quot;DT&quot;_-;_-@_-"/>
    <numFmt numFmtId="182" formatCode="_-* #,##0.00\ _D_-;\-* #,##0.00\ _D_-;_-* &quot;-&quot;??\ _D_-;_-@_-"/>
    <numFmt numFmtId="183" formatCode="_-* #,##0.000\ &quot;DT&quot;_-;\-* #,##0.000\ &quot;DT&quot;_-;_-* &quot;-&quot;??\ &quot;DT&quot;_-;_-@_-"/>
    <numFmt numFmtId="184" formatCode="_-* #,##0\ _D_T_-;\-* #,##0\ _D_T_-;_-* &quot;-&quot;???\ _D_T_-;_-@_-"/>
    <numFmt numFmtId="185" formatCode="_-* #,##0\ _D_T_-;\-* #,##0\ _D_T_-;_-* &quot;-&quot;\ _D_T_-;_-@_-"/>
    <numFmt numFmtId="186" formatCode="_-* #,##0.00\ _D_T_-;\-* #,##0.00\ _D_T_-;_-* &quot;-&quot;??\ _D_T_-;_-@_-"/>
    <numFmt numFmtId="187" formatCode="[$-40C]d\-mmm\-yy;@"/>
    <numFmt numFmtId="188" formatCode="#,##0\ &quot;€&quot;"/>
    <numFmt numFmtId="189" formatCode="_-* #,##0\ &quot;DT&quot;_-;\-* #,##0\ &quot;DT&quot;_-;_-* &quot;-&quot;??\ &quot;DT&quot;_-;_-@_-"/>
    <numFmt numFmtId="190" formatCode="_-* #,##0.00\ [$CFA-300C]_-;\-* #,##0.00\ [$CFA-300C]_-;_-* &quot;-&quot;??\ [$CFA-300C]_-;_-@_-"/>
    <numFmt numFmtId="191" formatCode="_-[$€-2]\ * #,##0.00_-;\-[$€-2]\ * #,##0.00_-;_-[$€-2]\ * &quot;-&quot;??_-;_-@_-"/>
    <numFmt numFmtId="192" formatCode="_-* #,##0.000\ [$CFA-300C]_-;\-* #,##0.000\ [$CFA-300C]_-;_-* &quot;-&quot;???\ [$CFA-300C]_-;_-@_-"/>
    <numFmt numFmtId="193" formatCode="_-* #,##0.00\ [$CFA-867]_-;\-* #,##0.00\ [$CFA-867]_-;_-* &quot;-&quot;??\ [$CFA-867]_-;_-@_-"/>
    <numFmt numFmtId="194" formatCode="_-* #,##0.00\ [$FCFA-2C0C]_-;\-* #,##0.00\ [$FCFA-2C0C]_-;_-* &quot;-&quot;??\ [$FCFA-2C0C]_-;_-@_-"/>
  </numFmts>
  <fonts count="1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sz val="10"/>
      <color indexed="8"/>
      <name val="Calibri"/>
      <family val="2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 tint="0.34998626667073579"/>
      <name val="Aptos Display"/>
      <family val="2"/>
      <scheme val="major"/>
    </font>
    <font>
      <sz val="10"/>
      <name val="Arial"/>
      <family val="2"/>
    </font>
    <font>
      <sz val="11"/>
      <name val="Aptos Narrow"/>
      <family val="2"/>
      <scheme val="minor"/>
    </font>
    <font>
      <u/>
      <sz val="11"/>
      <color indexed="12"/>
      <name val="Arial"/>
      <family val="2"/>
    </font>
    <font>
      <sz val="10"/>
      <color indexed="18"/>
      <name val="Times New Roman"/>
      <family val="1"/>
    </font>
    <font>
      <sz val="11"/>
      <color rgb="FF0432FF"/>
      <name val="Aptos Narrow"/>
      <family val="2"/>
      <scheme val="minor"/>
    </font>
    <font>
      <b/>
      <u/>
      <sz val="14"/>
      <color theme="0"/>
      <name val="Calibri"/>
      <family val="2"/>
    </font>
    <font>
      <b/>
      <u/>
      <sz val="11"/>
      <color theme="0"/>
      <name val="Arial"/>
      <family val="2"/>
    </font>
    <font>
      <b/>
      <u/>
      <sz val="14"/>
      <color theme="0"/>
      <name val="Arial"/>
      <family val="2"/>
    </font>
    <font>
      <b/>
      <sz val="48"/>
      <color rgb="FF002060"/>
      <name val="Calibri"/>
      <family val="2"/>
    </font>
    <font>
      <sz val="11"/>
      <color theme="1"/>
      <name val="Calibri"/>
      <family val="2"/>
    </font>
    <font>
      <b/>
      <sz val="14"/>
      <color theme="4" tint="-0.249977111117893"/>
      <name val="Calibri"/>
      <family val="2"/>
    </font>
    <font>
      <b/>
      <sz val="14"/>
      <color theme="1"/>
      <name val="Calibri"/>
      <family val="2"/>
    </font>
    <font>
      <b/>
      <sz val="16"/>
      <color rgb="FF0432FF"/>
      <name val="Calibri"/>
      <family val="2"/>
    </font>
    <font>
      <sz val="11"/>
      <color theme="0"/>
      <name val="Calibri"/>
      <family val="2"/>
    </font>
    <font>
      <sz val="22"/>
      <color theme="3" tint="9.9978637043366805E-2"/>
      <name val="Calibri"/>
      <family val="2"/>
    </font>
    <font>
      <b/>
      <sz val="14"/>
      <color rgb="FFFF0000"/>
      <name val="Calibri"/>
      <family val="2"/>
    </font>
    <font>
      <sz val="11"/>
      <color rgb="FFFF0000"/>
      <name val="Calibri"/>
      <family val="2"/>
    </font>
    <font>
      <b/>
      <sz val="14"/>
      <color rgb="FF00B050"/>
      <name val="Calibri"/>
      <family val="2"/>
    </font>
    <font>
      <b/>
      <sz val="14"/>
      <color rgb="FF0432FF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20"/>
      <color rgb="FF0078AE"/>
      <name val="Calibri"/>
      <family val="2"/>
    </font>
    <font>
      <b/>
      <sz val="20"/>
      <color rgb="FFBA4608"/>
      <name val="Calibri"/>
      <family val="2"/>
    </font>
    <font>
      <b/>
      <sz val="22"/>
      <color rgb="FFBA4608"/>
      <name val="Calibri"/>
      <family val="2"/>
    </font>
    <font>
      <b/>
      <sz val="22"/>
      <color rgb="FF2C830F"/>
      <name val="Calibri"/>
      <family val="2"/>
    </font>
    <font>
      <b/>
      <sz val="22"/>
      <color rgb="FF0432FF"/>
      <name val="Calibri"/>
      <family val="2"/>
    </font>
    <font>
      <b/>
      <sz val="20"/>
      <color rgb="FF2C830F"/>
      <name val="Calibri"/>
      <family val="2"/>
    </font>
    <font>
      <b/>
      <sz val="11"/>
      <color theme="6" tint="-0.249977111117893"/>
      <name val="Calibri"/>
      <family val="2"/>
    </font>
    <font>
      <b/>
      <sz val="12"/>
      <color theme="6" tint="-0.249977111117893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BA4608"/>
      <name val="Aptos Narrow"/>
      <family val="2"/>
      <scheme val="minor"/>
    </font>
    <font>
      <sz val="10"/>
      <name val="Calibri"/>
      <family val="2"/>
    </font>
    <font>
      <sz val="10"/>
      <color rgb="FF000000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4"/>
      <color theme="0"/>
      <name val="Calibri"/>
      <family val="2"/>
    </font>
    <font>
      <b/>
      <sz val="10"/>
      <color rgb="FF0432FF"/>
      <name val="Arial"/>
      <family val="2"/>
    </font>
    <font>
      <sz val="16"/>
      <color theme="1"/>
      <name val="Calibri"/>
      <family val="2"/>
    </font>
    <font>
      <b/>
      <sz val="22"/>
      <color rgb="FFFF0000"/>
      <name val="Calibri"/>
      <family val="2"/>
    </font>
    <font>
      <b/>
      <sz val="14"/>
      <color rgb="FF7030A0"/>
      <name val="Calibri"/>
      <family val="2"/>
    </font>
    <font>
      <b/>
      <sz val="22"/>
      <color rgb="FF7030A0"/>
      <name val="Calibri"/>
      <family val="2"/>
    </font>
    <font>
      <b/>
      <sz val="14"/>
      <color rgb="FFBA4608"/>
      <name val="Calibri"/>
      <family val="2"/>
    </font>
    <font>
      <b/>
      <sz val="11"/>
      <color rgb="FF0432FF"/>
      <name val="Calibri"/>
      <family val="2"/>
    </font>
    <font>
      <b/>
      <sz val="11"/>
      <color indexed="8"/>
      <name val="Calibri"/>
      <family val="2"/>
    </font>
    <font>
      <b/>
      <sz val="18"/>
      <color theme="0"/>
      <name val="Aptos Narrow"/>
      <family val="2"/>
      <scheme val="minor"/>
    </font>
    <font>
      <b/>
      <sz val="48"/>
      <color theme="1"/>
      <name val="Calibri"/>
      <family val="2"/>
    </font>
    <font>
      <b/>
      <sz val="18"/>
      <color rgb="FF0078AE"/>
      <name val="Calibri"/>
      <family val="2"/>
    </font>
    <font>
      <b/>
      <sz val="18"/>
      <color rgb="FFBA4608"/>
      <name val="Calibri"/>
      <family val="2"/>
    </font>
    <font>
      <b/>
      <sz val="18"/>
      <color rgb="FF2C830F"/>
      <name val="Calibri"/>
      <family val="2"/>
    </font>
    <font>
      <b/>
      <sz val="16"/>
      <color theme="4" tint="-0.249977111117893"/>
      <name val="Calibri"/>
      <family val="2"/>
    </font>
    <font>
      <b/>
      <sz val="16"/>
      <color rgb="FFFF0000"/>
      <name val="Calibri"/>
      <family val="2"/>
    </font>
    <font>
      <sz val="16"/>
      <color theme="0"/>
      <name val="Calibri"/>
      <family val="2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</font>
    <font>
      <b/>
      <sz val="14"/>
      <color rgb="FF242424"/>
      <name val="Aptos Narrow"/>
      <family val="2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2"/>
      <color rgb="FF002060"/>
      <name val="Arial"/>
      <family val="2"/>
    </font>
    <font>
      <b/>
      <sz val="10"/>
      <color rgb="FF002060"/>
      <name val="Arial"/>
      <family val="2"/>
    </font>
    <font>
      <sz val="11"/>
      <color theme="3"/>
      <name val="Aptos Narrow"/>
      <family val="2"/>
      <scheme val="minor"/>
    </font>
    <font>
      <b/>
      <u/>
      <sz val="16"/>
      <color theme="4"/>
      <name val="Arial"/>
      <family val="2"/>
    </font>
    <font>
      <sz val="10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10"/>
      <color theme="3"/>
      <name val="Aptos Narrow"/>
      <family val="2"/>
      <scheme val="minor"/>
    </font>
    <font>
      <sz val="12"/>
      <color rgb="FF000081"/>
      <name val="Arial"/>
      <family val="2"/>
    </font>
    <font>
      <b/>
      <sz val="9"/>
      <color rgb="FFC00000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9"/>
      <name val="Aptos Narrow"/>
      <family val="2"/>
      <scheme val="minor"/>
    </font>
    <font>
      <sz val="9"/>
      <color rgb="FFC00000"/>
      <name val="Arial"/>
      <family val="2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0"/>
      <color theme="0"/>
      <name val="Arial"/>
      <family val="2"/>
    </font>
    <font>
      <b/>
      <sz val="9"/>
      <color rgb="FF0432FF"/>
      <name val="Arial"/>
      <family val="2"/>
    </font>
    <font>
      <sz val="9"/>
      <color rgb="FF0432FF"/>
      <name val="Arial"/>
      <family val="2"/>
    </font>
    <font>
      <b/>
      <u/>
      <sz val="12"/>
      <color theme="0"/>
      <name val="Arial"/>
      <family val="2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</font>
    <font>
      <u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FF0000"/>
      <name val="Aptos Narrow"/>
      <family val="2"/>
      <scheme val="minor"/>
    </font>
    <font>
      <b/>
      <sz val="12"/>
      <color rgb="FFFF0000"/>
      <name val="Arial"/>
      <family val="2"/>
    </font>
    <font>
      <b/>
      <sz val="18"/>
      <color theme="4" tint="-0.249977111117893"/>
      <name val="Aptos Narrow"/>
      <family val="2"/>
      <scheme val="minor"/>
    </font>
    <font>
      <sz val="18"/>
      <color theme="4" tint="-0.249977111117893"/>
      <name val="Aptos Narrow"/>
      <family val="2"/>
      <scheme val="minor"/>
    </font>
    <font>
      <sz val="18"/>
      <color rgb="FFC00000"/>
      <name val="Aptos Narrow"/>
      <family val="2"/>
      <scheme val="minor"/>
    </font>
    <font>
      <b/>
      <sz val="16"/>
      <color theme="4" tint="-0.249977111117893"/>
      <name val="Aptos Narrow"/>
      <family val="2"/>
      <scheme val="minor"/>
    </font>
    <font>
      <sz val="11"/>
      <color theme="9"/>
      <name val="Calibri"/>
      <family val="2"/>
    </font>
    <font>
      <u/>
      <sz val="11"/>
      <color theme="9"/>
      <name val="Arial"/>
      <family val="2"/>
    </font>
    <font>
      <sz val="18"/>
      <color theme="9"/>
      <name val="Aptos Narrow"/>
      <family val="2"/>
      <scheme val="minor"/>
    </font>
    <font>
      <b/>
      <sz val="10"/>
      <color indexed="8"/>
      <name val="Calibri"/>
      <family val="2"/>
    </font>
    <font>
      <b/>
      <sz val="12"/>
      <color indexed="8"/>
      <name val="Calibri"/>
      <family val="2"/>
    </font>
    <font>
      <sz val="11"/>
      <color rgb="FF000000"/>
      <name val="Aptos Narrow"/>
      <family val="2"/>
    </font>
  </fonts>
  <fills count="4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0432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theme="9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theme="9"/>
      </patternFill>
    </fill>
    <fill>
      <patternFill patternType="solid">
        <fgColor rgb="FFFEC2C3"/>
        <bgColor indexed="64"/>
      </patternFill>
    </fill>
    <fill>
      <patternFill patternType="solid">
        <fgColor rgb="FFD2D8FA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rgb="FF0432FF"/>
      </left>
      <right style="double">
        <color rgb="FF0432FF"/>
      </right>
      <top style="double">
        <color rgb="FF0432FF"/>
      </top>
      <bottom style="double">
        <color rgb="FF0432FF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3" tint="0.59996337778862885"/>
      </left>
      <right style="medium">
        <color rgb="FF002060"/>
      </right>
      <top style="medium">
        <color theme="3" tint="0.59996337778862885"/>
      </top>
      <bottom style="medium">
        <color theme="3" tint="-0.24994659260841701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rgb="FFC00000"/>
      </left>
      <right/>
      <top style="medium">
        <color rgb="FFC00000"/>
      </top>
      <bottom style="thin">
        <color rgb="FFC00000"/>
      </bottom>
      <diagonal/>
    </border>
    <border>
      <left style="thin">
        <color indexed="64"/>
      </left>
      <right/>
      <top style="thin">
        <color indexed="64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rgb="FFC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C00000"/>
      </left>
      <right style="double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5">
    <xf numFmtId="0" fontId="0" fillId="0" borderId="0"/>
    <xf numFmtId="9" fontId="1" fillId="0" borderId="0" applyFont="0" applyFill="0" applyBorder="0" applyAlignment="0" applyProtection="0"/>
    <xf numFmtId="0" fontId="3" fillId="0" borderId="0"/>
    <xf numFmtId="168" fontId="1" fillId="0" borderId="7">
      <alignment horizontal="center" vertical="center"/>
    </xf>
    <xf numFmtId="0" fontId="1" fillId="0" borderId="8" applyFill="0">
      <alignment horizontal="center" vertical="center"/>
    </xf>
    <xf numFmtId="0" fontId="1" fillId="0" borderId="8" applyFill="0">
      <alignment horizontal="left" vertical="center" indent="2"/>
    </xf>
    <xf numFmtId="169" fontId="1" fillId="0" borderId="8" applyFill="0">
      <alignment horizontal="center"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1" fillId="0" borderId="0" applyNumberFormat="0" applyFill="0" applyProtection="0">
      <alignment horizontal="right" indent="1"/>
    </xf>
    <xf numFmtId="0" fontId="7" fillId="0" borderId="0" applyNumberFormat="0" applyFill="0" applyAlignment="0" applyProtection="0"/>
    <xf numFmtId="0" fontId="7" fillId="0" borderId="0" applyNumberFormat="0" applyFill="0" applyProtection="0">
      <alignment vertical="top"/>
    </xf>
    <xf numFmtId="167" fontId="12" fillId="0" borderId="0" applyFont="0" applyFill="0" applyBorder="0" applyAlignment="0" applyProtection="0"/>
    <xf numFmtId="0" fontId="12" fillId="0" borderId="0"/>
    <xf numFmtId="3" fontId="15" fillId="8" borderId="0">
      <protection hidden="1"/>
    </xf>
    <xf numFmtId="43" fontId="1" fillId="0" borderId="0" applyFont="0" applyFill="0" applyBorder="0" applyAlignment="0" applyProtection="0"/>
    <xf numFmtId="17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165" fontId="1" fillId="0" borderId="0" applyFont="0" applyFill="0" applyBorder="0" applyAlignment="0" applyProtection="0"/>
    <xf numFmtId="182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7" fillId="0" borderId="0"/>
    <xf numFmtId="0" fontId="1" fillId="0" borderId="0" applyNumberFormat="0" applyFill="0" applyProtection="0">
      <alignment horizontal="right" vertical="center" indent="1"/>
    </xf>
    <xf numFmtId="14" fontId="1" fillId="0" borderId="0" applyFont="0" applyFill="0" applyBorder="0">
      <alignment horizontal="center" vertical="center"/>
    </xf>
    <xf numFmtId="9" fontId="1" fillId="0" borderId="0" applyFont="0" applyFill="0" applyBorder="0" applyProtection="0">
      <alignment horizontal="center" vertical="center"/>
    </xf>
    <xf numFmtId="37" fontId="1" fillId="0" borderId="0" applyFont="0" applyFill="0" applyBorder="0" applyProtection="0">
      <alignment horizontal="center" vertical="center"/>
    </xf>
    <xf numFmtId="175" fontId="12" fillId="0" borderId="0"/>
    <xf numFmtId="175" fontId="12" fillId="0" borderId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5" fontId="85" fillId="0" borderId="0"/>
  </cellStyleXfs>
  <cellXfs count="736">
    <xf numFmtId="0" fontId="0" fillId="0" borderId="0" xfId="0"/>
    <xf numFmtId="0" fontId="5" fillId="0" borderId="2" xfId="0" applyFont="1" applyBorder="1" applyAlignment="1">
      <alignment horizontal="left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/>
    </xf>
    <xf numFmtId="0" fontId="5" fillId="4" borderId="4" xfId="0" applyFont="1" applyFill="1" applyBorder="1" applyAlignment="1">
      <alignment horizontal="left" vertical="center" wrapText="1" readingOrder="1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right" vertical="center"/>
    </xf>
    <xf numFmtId="0" fontId="4" fillId="2" borderId="2" xfId="0" applyFont="1" applyFill="1" applyBorder="1" applyAlignment="1">
      <alignment horizontal="left" vertical="center" wrapText="1" readingOrder="1"/>
    </xf>
    <xf numFmtId="0" fontId="4" fillId="2" borderId="2" xfId="0" applyFont="1" applyFill="1" applyBorder="1" applyAlignment="1">
      <alignment horizontal="right" vertical="center" wrapText="1" readingOrder="1"/>
    </xf>
    <xf numFmtId="0" fontId="4" fillId="2" borderId="3" xfId="0" applyFont="1" applyFill="1" applyBorder="1" applyAlignment="1">
      <alignment horizontal="right" vertical="center" wrapText="1" readingOrder="1"/>
    </xf>
    <xf numFmtId="0" fontId="5" fillId="0" borderId="2" xfId="0" applyFont="1" applyBorder="1" applyAlignment="1">
      <alignment horizontal="right" vertical="center" wrapText="1" readingOrder="1"/>
    </xf>
    <xf numFmtId="0" fontId="5" fillId="3" borderId="3" xfId="0" applyFont="1" applyFill="1" applyBorder="1" applyAlignment="1">
      <alignment horizontal="right" vertical="center" wrapText="1" readingOrder="1"/>
    </xf>
    <xf numFmtId="0" fontId="5" fillId="5" borderId="4" xfId="0" applyFont="1" applyFill="1" applyBorder="1" applyAlignment="1">
      <alignment vertical="center" wrapText="1" readingOrder="1"/>
    </xf>
    <xf numFmtId="0" fontId="5" fillId="6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/>
    </xf>
    <xf numFmtId="14" fontId="5" fillId="0" borderId="2" xfId="0" applyNumberFormat="1" applyFont="1" applyBorder="1" applyAlignment="1">
      <alignment horizontal="left" vertical="center" wrapText="1" readingOrder="1"/>
    </xf>
    <xf numFmtId="9" fontId="5" fillId="3" borderId="3" xfId="1" applyFont="1" applyFill="1" applyBorder="1" applyAlignment="1">
      <alignment horizontal="right" vertical="center" wrapText="1" readingOrder="1"/>
    </xf>
    <xf numFmtId="0" fontId="4" fillId="2" borderId="4" xfId="0" applyFont="1" applyFill="1" applyBorder="1" applyAlignment="1">
      <alignment vertical="center"/>
    </xf>
    <xf numFmtId="17" fontId="4" fillId="2" borderId="4" xfId="0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9" fontId="0" fillId="0" borderId="4" xfId="1" applyFont="1" applyBorder="1" applyAlignment="1">
      <alignment vertical="center"/>
    </xf>
    <xf numFmtId="0" fontId="4" fillId="2" borderId="18" xfId="0" applyFont="1" applyFill="1" applyBorder="1" applyAlignment="1">
      <alignment vertical="center" wrapText="1" readingOrder="1"/>
    </xf>
    <xf numFmtId="14" fontId="5" fillId="0" borderId="2" xfId="0" applyNumberFormat="1" applyFont="1" applyBorder="1" applyAlignment="1">
      <alignment horizontal="right"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175" fontId="0" fillId="0" borderId="17" xfId="0" applyNumberFormat="1" applyBorder="1"/>
    <xf numFmtId="0" fontId="18" fillId="13" borderId="21" xfId="7" applyFont="1" applyFill="1" applyBorder="1" applyAlignment="1" applyProtection="1">
      <alignment horizontal="center" vertical="center"/>
    </xf>
    <xf numFmtId="0" fontId="19" fillId="13" borderId="21" xfId="7" applyFont="1" applyFill="1" applyBorder="1" applyAlignment="1" applyProtection="1">
      <alignment horizontal="center" vertical="center"/>
    </xf>
    <xf numFmtId="172" fontId="0" fillId="0" borderId="0" xfId="0" applyNumberFormat="1" applyAlignment="1">
      <alignment vertical="center"/>
    </xf>
    <xf numFmtId="0" fontId="21" fillId="0" borderId="0" xfId="0" applyFont="1"/>
    <xf numFmtId="0" fontId="21" fillId="15" borderId="0" xfId="0" applyFont="1" applyFill="1"/>
    <xf numFmtId="0" fontId="17" fillId="16" borderId="0" xfId="7" applyFont="1" applyFill="1" applyBorder="1" applyAlignment="1" applyProtection="1">
      <alignment horizontal="center" vertical="center"/>
    </xf>
    <xf numFmtId="0" fontId="21" fillId="14" borderId="0" xfId="0" applyFont="1" applyFill="1"/>
    <xf numFmtId="0" fontId="20" fillId="0" borderId="0" xfId="0" applyFont="1" applyAlignment="1">
      <alignment vertical="center"/>
    </xf>
    <xf numFmtId="0" fontId="21" fillId="10" borderId="0" xfId="0" applyFont="1" applyFill="1"/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1" fillId="3" borderId="10" xfId="0" applyFont="1" applyFill="1" applyBorder="1"/>
    <xf numFmtId="0" fontId="21" fillId="3" borderId="19" xfId="0" applyFont="1" applyFill="1" applyBorder="1"/>
    <xf numFmtId="0" fontId="21" fillId="3" borderId="15" xfId="0" applyFont="1" applyFill="1" applyBorder="1"/>
    <xf numFmtId="0" fontId="21" fillId="3" borderId="16" xfId="0" applyFont="1" applyFill="1" applyBorder="1"/>
    <xf numFmtId="0" fontId="25" fillId="10" borderId="0" xfId="0" applyFont="1" applyFill="1" applyAlignment="1">
      <alignment horizontal="center"/>
    </xf>
    <xf numFmtId="0" fontId="25" fillId="10" borderId="0" xfId="0" applyFont="1" applyFill="1"/>
    <xf numFmtId="0" fontId="21" fillId="0" borderId="15" xfId="0" applyFont="1" applyBorder="1"/>
    <xf numFmtId="0" fontId="21" fillId="0" borderId="16" xfId="0" applyFont="1" applyBorder="1"/>
    <xf numFmtId="0" fontId="21" fillId="11" borderId="0" xfId="0" applyFont="1" applyFill="1"/>
    <xf numFmtId="0" fontId="27" fillId="11" borderId="0" xfId="0" applyFont="1" applyFill="1" applyAlignment="1">
      <alignment horizontal="center"/>
    </xf>
    <xf numFmtId="9" fontId="28" fillId="11" borderId="0" xfId="0" applyNumberFormat="1" applyFont="1" applyFill="1" applyAlignment="1">
      <alignment horizontal="center" vertical="center"/>
    </xf>
    <xf numFmtId="9" fontId="21" fillId="11" borderId="0" xfId="0" applyNumberFormat="1" applyFont="1" applyFill="1"/>
    <xf numFmtId="0" fontId="29" fillId="11" borderId="0" xfId="0" applyFont="1" applyFill="1" applyAlignment="1">
      <alignment horizontal="center"/>
    </xf>
    <xf numFmtId="0" fontId="30" fillId="11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32" fillId="10" borderId="0" xfId="0" applyFont="1" applyFill="1"/>
    <xf numFmtId="0" fontId="32" fillId="0" borderId="0" xfId="0" applyFont="1"/>
    <xf numFmtId="0" fontId="32" fillId="11" borderId="0" xfId="0" applyFont="1" applyFill="1"/>
    <xf numFmtId="177" fontId="23" fillId="11" borderId="0" xfId="15" applyNumberFormat="1" applyFont="1" applyFill="1"/>
    <xf numFmtId="0" fontId="18" fillId="13" borderId="21" xfId="7" applyFont="1" applyFill="1" applyBorder="1" applyAlignment="1" applyProtection="1">
      <alignment horizontal="center" vertical="center" wrapText="1"/>
    </xf>
    <xf numFmtId="172" fontId="0" fillId="0" borderId="4" xfId="15" applyNumberFormat="1" applyFont="1" applyFill="1" applyBorder="1" applyAlignment="1">
      <alignment vertical="center"/>
    </xf>
    <xf numFmtId="0" fontId="5" fillId="5" borderId="4" xfId="0" applyFont="1" applyFill="1" applyBorder="1" applyAlignment="1">
      <alignment vertical="top" wrapText="1" readingOrder="1"/>
    </xf>
    <xf numFmtId="0" fontId="0" fillId="0" borderId="4" xfId="0" applyBorder="1" applyAlignment="1">
      <alignment vertical="top" wrapText="1"/>
    </xf>
    <xf numFmtId="0" fontId="0" fillId="0" borderId="0" xfId="0" applyAlignment="1">
      <alignment vertical="top"/>
    </xf>
    <xf numFmtId="9" fontId="39" fillId="11" borderId="0" xfId="0" applyNumberFormat="1" applyFont="1" applyFill="1" applyAlignment="1">
      <alignment horizontal="right" vertical="center"/>
    </xf>
    <xf numFmtId="179" fontId="40" fillId="11" borderId="0" xfId="15" applyNumberFormat="1" applyFont="1" applyFill="1" applyAlignment="1">
      <alignment horizontal="right" vertical="center"/>
    </xf>
    <xf numFmtId="0" fontId="0" fillId="0" borderId="4" xfId="0" applyBorder="1" applyAlignment="1">
      <alignment vertical="center" wrapText="1"/>
    </xf>
    <xf numFmtId="0" fontId="0" fillId="0" borderId="0" xfId="0" applyAlignment="1">
      <alignment vertical="center" wrapText="1"/>
    </xf>
    <xf numFmtId="180" fontId="0" fillId="0" borderId="4" xfId="0" applyNumberFormat="1" applyBorder="1" applyAlignment="1">
      <alignment horizontal="right" vertical="center" wrapText="1"/>
    </xf>
    <xf numFmtId="10" fontId="0" fillId="0" borderId="4" xfId="0" applyNumberFormat="1" applyBorder="1" applyAlignment="1">
      <alignment vertical="center" wrapText="1"/>
    </xf>
    <xf numFmtId="181" fontId="0" fillId="0" borderId="4" xfId="0" applyNumberFormat="1" applyBorder="1" applyAlignment="1">
      <alignment horizontal="right" vertical="center" wrapText="1"/>
    </xf>
    <xf numFmtId="0" fontId="0" fillId="0" borderId="0" xfId="0" applyAlignment="1">
      <alignment wrapText="1"/>
    </xf>
    <xf numFmtId="0" fontId="43" fillId="0" borderId="0" xfId="0" applyFont="1"/>
    <xf numFmtId="0" fontId="13" fillId="0" borderId="0" xfId="0" applyFont="1"/>
    <xf numFmtId="0" fontId="13" fillId="0" borderId="4" xfId="0" applyFont="1" applyBorder="1" applyAlignment="1">
      <alignment vertical="center" wrapText="1"/>
    </xf>
    <xf numFmtId="180" fontId="0" fillId="0" borderId="4" xfId="0" applyNumberFormat="1" applyBorder="1" applyAlignment="1">
      <alignment vertical="center" wrapText="1"/>
    </xf>
    <xf numFmtId="9" fontId="0" fillId="0" borderId="4" xfId="1" applyFont="1" applyBorder="1" applyAlignment="1">
      <alignment vertical="center" wrapText="1"/>
    </xf>
    <xf numFmtId="172" fontId="0" fillId="0" borderId="0" xfId="0" applyNumberFormat="1" applyAlignment="1">
      <alignment horizontal="right" vertical="center"/>
    </xf>
    <xf numFmtId="181" fontId="0" fillId="0" borderId="1" xfId="0" applyNumberFormat="1" applyBorder="1"/>
    <xf numFmtId="0" fontId="24" fillId="0" borderId="0" xfId="0" applyFont="1" applyAlignment="1">
      <alignment horizontal="left" wrapText="1"/>
    </xf>
    <xf numFmtId="164" fontId="0" fillId="0" borderId="4" xfId="23" applyFont="1" applyFill="1" applyBorder="1" applyAlignment="1">
      <alignment vertical="center"/>
    </xf>
    <xf numFmtId="185" fontId="0" fillId="0" borderId="4" xfId="0" applyNumberFormat="1" applyBorder="1" applyAlignment="1">
      <alignment horizontal="right" vertical="center" wrapText="1"/>
    </xf>
    <xf numFmtId="180" fontId="0" fillId="0" borderId="0" xfId="0" applyNumberFormat="1" applyAlignment="1">
      <alignment vertical="center"/>
    </xf>
    <xf numFmtId="184" fontId="9" fillId="0" borderId="1" xfId="23" applyNumberFormat="1" applyFont="1" applyBorder="1" applyAlignment="1">
      <alignment horizontal="right" vertical="center"/>
    </xf>
    <xf numFmtId="183" fontId="9" fillId="0" borderId="1" xfId="23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 wrapText="1"/>
    </xf>
    <xf numFmtId="9" fontId="5" fillId="0" borderId="1" xfId="1" applyFont="1" applyBorder="1" applyAlignment="1">
      <alignment horizontal="right" vertical="center" wrapText="1" readingOrder="1"/>
    </xf>
    <xf numFmtId="172" fontId="5" fillId="0" borderId="1" xfId="15" applyNumberFormat="1" applyFont="1" applyBorder="1" applyAlignment="1">
      <alignment horizontal="right" vertical="center" wrapText="1" readingOrder="1"/>
    </xf>
    <xf numFmtId="183" fontId="5" fillId="0" borderId="1" xfId="23" applyNumberFormat="1" applyFont="1" applyBorder="1" applyAlignment="1">
      <alignment horizontal="right" vertical="center" wrapText="1" readingOrder="1"/>
    </xf>
    <xf numFmtId="14" fontId="5" fillId="0" borderId="1" xfId="0" applyNumberFormat="1" applyFont="1" applyBorder="1" applyAlignment="1">
      <alignment horizontal="right" vertical="center" wrapText="1" readingOrder="1"/>
    </xf>
    <xf numFmtId="186" fontId="5" fillId="0" borderId="1" xfId="0" applyNumberFormat="1" applyFont="1" applyBorder="1" applyAlignment="1">
      <alignment horizontal="right" vertical="center" wrapText="1" readingOrder="1"/>
    </xf>
    <xf numFmtId="0" fontId="5" fillId="19" borderId="1" xfId="0" applyFont="1" applyFill="1" applyBorder="1" applyAlignment="1">
      <alignment horizontal="right" vertical="center" wrapText="1" readingOrder="1"/>
    </xf>
    <xf numFmtId="0" fontId="0" fillId="19" borderId="1" xfId="0" applyFill="1" applyBorder="1" applyAlignment="1">
      <alignment horizontal="right" vertical="center"/>
    </xf>
    <xf numFmtId="9" fontId="5" fillId="19" borderId="1" xfId="1" applyFont="1" applyFill="1" applyBorder="1" applyAlignment="1">
      <alignment horizontal="right" vertical="center" wrapText="1" readingOrder="1"/>
    </xf>
    <xf numFmtId="172" fontId="5" fillId="19" borderId="1" xfId="15" applyNumberFormat="1" applyFont="1" applyFill="1" applyBorder="1" applyAlignment="1">
      <alignment horizontal="right" vertical="center" wrapText="1" readingOrder="1"/>
    </xf>
    <xf numFmtId="172" fontId="5" fillId="19" borderId="1" xfId="0" applyNumberFormat="1" applyFont="1" applyFill="1" applyBorder="1" applyAlignment="1">
      <alignment horizontal="right" vertical="center" wrapText="1" readingOrder="1"/>
    </xf>
    <xf numFmtId="14" fontId="5" fillId="19" borderId="1" xfId="0" applyNumberFormat="1" applyFont="1" applyFill="1" applyBorder="1" applyAlignment="1">
      <alignment horizontal="right" vertical="center" wrapText="1" readingOrder="1"/>
    </xf>
    <xf numFmtId="17" fontId="0" fillId="19" borderId="1" xfId="0" applyNumberFormat="1" applyFill="1" applyBorder="1" applyAlignment="1">
      <alignment horizontal="right" vertical="center"/>
    </xf>
    <xf numFmtId="4" fontId="47" fillId="20" borderId="0" xfId="0" applyNumberFormat="1" applyFont="1" applyFill="1" applyAlignment="1">
      <alignment vertical="center" wrapText="1"/>
    </xf>
    <xf numFmtId="0" fontId="48" fillId="17" borderId="1" xfId="0" applyFont="1" applyFill="1" applyBorder="1" applyAlignment="1">
      <alignment vertical="center"/>
    </xf>
    <xf numFmtId="170" fontId="0" fillId="0" borderId="4" xfId="1" applyNumberFormat="1" applyFont="1" applyFill="1" applyBorder="1" applyAlignment="1">
      <alignment vertical="center" wrapText="1"/>
    </xf>
    <xf numFmtId="14" fontId="5" fillId="15" borderId="2" xfId="0" applyNumberFormat="1" applyFont="1" applyFill="1" applyBorder="1" applyAlignment="1">
      <alignment horizontal="right" vertical="center" wrapText="1" readingOrder="1"/>
    </xf>
    <xf numFmtId="183" fontId="44" fillId="0" borderId="1" xfId="23" applyNumberFormat="1" applyFont="1" applyFill="1" applyBorder="1" applyAlignment="1">
      <alignment horizontal="right" vertical="center" wrapText="1" readingOrder="1"/>
    </xf>
    <xf numFmtId="9" fontId="44" fillId="0" borderId="1" xfId="1" applyFont="1" applyFill="1" applyBorder="1" applyAlignment="1">
      <alignment horizontal="right" vertical="center" wrapText="1" readingOrder="1"/>
    </xf>
    <xf numFmtId="0" fontId="22" fillId="0" borderId="0" xfId="0" applyFont="1" applyAlignment="1">
      <alignment horizontal="left" wrapText="1"/>
    </xf>
    <xf numFmtId="164" fontId="49" fillId="10" borderId="0" xfId="23" applyFont="1" applyFill="1" applyAlignment="1">
      <alignment horizontal="center"/>
    </xf>
    <xf numFmtId="176" fontId="49" fillId="10" borderId="0" xfId="0" applyNumberFormat="1" applyFont="1" applyFill="1" applyAlignment="1">
      <alignment horizontal="center"/>
    </xf>
    <xf numFmtId="164" fontId="0" fillId="0" borderId="4" xfId="23" applyFont="1" applyBorder="1" applyAlignment="1">
      <alignment vertical="center"/>
    </xf>
    <xf numFmtId="164" fontId="0" fillId="0" borderId="0" xfId="23" applyFont="1"/>
    <xf numFmtId="9" fontId="0" fillId="0" borderId="22" xfId="1" applyFont="1" applyBorder="1" applyAlignment="1">
      <alignment vertical="center" wrapText="1"/>
    </xf>
    <xf numFmtId="185" fontId="0" fillId="0" borderId="4" xfId="0" applyNumberFormat="1" applyBorder="1" applyAlignment="1">
      <alignment vertical="center" wrapText="1"/>
    </xf>
    <xf numFmtId="0" fontId="16" fillId="0" borderId="0" xfId="0" applyFont="1"/>
    <xf numFmtId="17" fontId="4" fillId="2" borderId="4" xfId="0" applyNumberFormat="1" applyFont="1" applyFill="1" applyBorder="1" applyAlignment="1">
      <alignment horizontal="right" vertical="center"/>
    </xf>
    <xf numFmtId="0" fontId="2" fillId="0" borderId="1" xfId="0" applyFont="1" applyBorder="1"/>
    <xf numFmtId="181" fontId="0" fillId="0" borderId="23" xfId="0" applyNumberFormat="1" applyBorder="1"/>
    <xf numFmtId="181" fontId="2" fillId="0" borderId="23" xfId="0" applyNumberFormat="1" applyFont="1" applyBorder="1"/>
    <xf numFmtId="0" fontId="53" fillId="11" borderId="0" xfId="0" applyFont="1" applyFill="1" applyAlignment="1">
      <alignment horizontal="center"/>
    </xf>
    <xf numFmtId="0" fontId="55" fillId="11" borderId="0" xfId="0" applyFont="1" applyFill="1" applyAlignment="1">
      <alignment horizontal="center"/>
    </xf>
    <xf numFmtId="0" fontId="30" fillId="0" borderId="1" xfId="0" applyFont="1" applyBorder="1" applyAlignment="1">
      <alignment wrapText="1"/>
    </xf>
    <xf numFmtId="0" fontId="56" fillId="0" borderId="1" xfId="0" applyFont="1" applyBorder="1" applyAlignment="1">
      <alignment wrapText="1"/>
    </xf>
    <xf numFmtId="14" fontId="0" fillId="0" borderId="0" xfId="0" applyNumberFormat="1"/>
    <xf numFmtId="17" fontId="0" fillId="0" borderId="0" xfId="0" applyNumberFormat="1"/>
    <xf numFmtId="17" fontId="0" fillId="0" borderId="4" xfId="0" applyNumberFormat="1" applyBorder="1"/>
    <xf numFmtId="17" fontId="0" fillId="0" borderId="6" xfId="0" applyNumberFormat="1" applyBorder="1"/>
    <xf numFmtId="0" fontId="0" fillId="0" borderId="5" xfId="0" applyBorder="1" applyAlignment="1">
      <alignment vertical="center" wrapText="1"/>
    </xf>
    <xf numFmtId="185" fontId="0" fillId="0" borderId="5" xfId="0" applyNumberFormat="1" applyBorder="1" applyAlignment="1">
      <alignment horizontal="right" vertical="center" wrapText="1"/>
    </xf>
    <xf numFmtId="185" fontId="0" fillId="0" borderId="5" xfId="0" applyNumberFormat="1" applyBorder="1" applyAlignment="1">
      <alignment vertical="center" wrapText="1"/>
    </xf>
    <xf numFmtId="180" fontId="0" fillId="0" borderId="5" xfId="0" applyNumberFormat="1" applyBorder="1" applyAlignment="1">
      <alignment vertical="center" wrapText="1"/>
    </xf>
    <xf numFmtId="180" fontId="0" fillId="0" borderId="5" xfId="0" applyNumberFormat="1" applyBorder="1" applyAlignment="1">
      <alignment horizontal="right" vertical="center" wrapText="1"/>
    </xf>
    <xf numFmtId="10" fontId="0" fillId="0" borderId="5" xfId="0" applyNumberFormat="1" applyBorder="1" applyAlignment="1">
      <alignment vertical="center" wrapText="1"/>
    </xf>
    <xf numFmtId="181" fontId="0" fillId="0" borderId="5" xfId="0" applyNumberFormat="1" applyBorder="1" applyAlignment="1">
      <alignment horizontal="right" vertical="center" wrapText="1"/>
    </xf>
    <xf numFmtId="17" fontId="0" fillId="0" borderId="5" xfId="0" applyNumberFormat="1" applyBorder="1"/>
    <xf numFmtId="0" fontId="13" fillId="0" borderId="5" xfId="0" applyFont="1" applyBorder="1" applyAlignment="1">
      <alignment vertical="center" wrapText="1"/>
    </xf>
    <xf numFmtId="17" fontId="4" fillId="2" borderId="26" xfId="0" applyNumberFormat="1" applyFont="1" applyFill="1" applyBorder="1" applyAlignment="1">
      <alignment vertical="center"/>
    </xf>
    <xf numFmtId="17" fontId="4" fillId="2" borderId="27" xfId="0" applyNumberFormat="1" applyFont="1" applyFill="1" applyBorder="1" applyAlignment="1">
      <alignment vertical="center"/>
    </xf>
    <xf numFmtId="17" fontId="4" fillId="2" borderId="28" xfId="0" applyNumberFormat="1" applyFont="1" applyFill="1" applyBorder="1" applyAlignment="1">
      <alignment vertical="center"/>
    </xf>
    <xf numFmtId="0" fontId="0" fillId="0" borderId="29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185" fontId="0" fillId="0" borderId="29" xfId="0" applyNumberFormat="1" applyBorder="1" applyAlignment="1">
      <alignment horizontal="right" vertical="center" wrapText="1"/>
    </xf>
    <xf numFmtId="185" fontId="0" fillId="0" borderId="30" xfId="0" applyNumberFormat="1" applyBorder="1" applyAlignment="1">
      <alignment horizontal="right" vertical="center" wrapText="1"/>
    </xf>
    <xf numFmtId="185" fontId="0" fillId="0" borderId="29" xfId="0" applyNumberFormat="1" applyBorder="1" applyAlignment="1">
      <alignment vertical="center" wrapText="1"/>
    </xf>
    <xf numFmtId="185" fontId="0" fillId="0" borderId="30" xfId="0" applyNumberFormat="1" applyBorder="1" applyAlignment="1">
      <alignment vertical="center" wrapText="1"/>
    </xf>
    <xf numFmtId="180" fontId="0" fillId="0" borderId="29" xfId="0" applyNumberFormat="1" applyBorder="1" applyAlignment="1">
      <alignment vertical="center" wrapText="1"/>
    </xf>
    <xf numFmtId="180" fontId="0" fillId="0" borderId="30" xfId="0" applyNumberFormat="1" applyBorder="1" applyAlignment="1">
      <alignment horizontal="right" vertical="center" wrapText="1"/>
    </xf>
    <xf numFmtId="180" fontId="0" fillId="0" borderId="29" xfId="0" applyNumberFormat="1" applyBorder="1" applyAlignment="1">
      <alignment horizontal="right" vertical="center" wrapText="1"/>
    </xf>
    <xf numFmtId="180" fontId="0" fillId="0" borderId="30" xfId="0" applyNumberFormat="1" applyBorder="1" applyAlignment="1">
      <alignment vertical="center" wrapText="1"/>
    </xf>
    <xf numFmtId="10" fontId="0" fillId="0" borderId="29" xfId="0" applyNumberFormat="1" applyBorder="1" applyAlignment="1">
      <alignment vertical="center" wrapText="1"/>
    </xf>
    <xf numFmtId="10" fontId="0" fillId="0" borderId="30" xfId="0" applyNumberFormat="1" applyBorder="1" applyAlignment="1">
      <alignment vertical="center" wrapText="1"/>
    </xf>
    <xf numFmtId="181" fontId="0" fillId="0" borderId="29" xfId="0" applyNumberFormat="1" applyBorder="1" applyAlignment="1">
      <alignment horizontal="right" vertical="center" wrapText="1"/>
    </xf>
    <xf numFmtId="181" fontId="0" fillId="0" borderId="30" xfId="0" applyNumberFormat="1" applyBorder="1" applyAlignment="1">
      <alignment horizontal="right" vertical="center" wrapText="1"/>
    </xf>
    <xf numFmtId="17" fontId="0" fillId="0" borderId="29" xfId="0" applyNumberFormat="1" applyBorder="1"/>
    <xf numFmtId="17" fontId="0" fillId="0" borderId="30" xfId="0" applyNumberFormat="1" applyBorder="1"/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9" fontId="43" fillId="0" borderId="31" xfId="1" applyFont="1" applyBorder="1"/>
    <xf numFmtId="9" fontId="43" fillId="0" borderId="32" xfId="1" applyFont="1" applyBorder="1"/>
    <xf numFmtId="17" fontId="4" fillId="2" borderId="33" xfId="0" applyNumberFormat="1" applyFont="1" applyFill="1" applyBorder="1" applyAlignment="1">
      <alignment vertical="center"/>
    </xf>
    <xf numFmtId="185" fontId="0" fillId="0" borderId="29" xfId="23" applyNumberFormat="1" applyFont="1" applyBorder="1" applyAlignment="1">
      <alignment horizontal="right" vertical="center" wrapText="1"/>
    </xf>
    <xf numFmtId="9" fontId="43" fillId="0" borderId="34" xfId="1" applyFont="1" applyBorder="1"/>
    <xf numFmtId="0" fontId="5" fillId="4" borderId="5" xfId="0" applyFont="1" applyFill="1" applyBorder="1" applyAlignment="1">
      <alignment horizontal="left" vertical="center" wrapText="1" readingOrder="1"/>
    </xf>
    <xf numFmtId="9" fontId="43" fillId="0" borderId="38" xfId="1" applyFont="1" applyBorder="1"/>
    <xf numFmtId="9" fontId="43" fillId="0" borderId="39" xfId="1" applyFont="1" applyBorder="1"/>
    <xf numFmtId="9" fontId="43" fillId="0" borderId="40" xfId="1" applyFont="1" applyBorder="1"/>
    <xf numFmtId="0" fontId="57" fillId="5" borderId="4" xfId="0" applyFont="1" applyFill="1" applyBorder="1" applyAlignment="1">
      <alignment vertical="center" wrapText="1" readingOrder="1"/>
    </xf>
    <xf numFmtId="2" fontId="45" fillId="0" borderId="1" xfId="0" applyNumberFormat="1" applyFont="1" applyBorder="1" applyAlignment="1">
      <alignment horizontal="center" vertical="center" wrapText="1"/>
    </xf>
    <xf numFmtId="179" fontId="2" fillId="0" borderId="1" xfId="0" applyNumberFormat="1" applyFont="1" applyBorder="1"/>
    <xf numFmtId="2" fontId="2" fillId="9" borderId="12" xfId="0" applyNumberFormat="1" applyFont="1" applyFill="1" applyBorder="1"/>
    <xf numFmtId="0" fontId="57" fillId="19" borderId="0" xfId="0" applyFont="1" applyFill="1" applyAlignment="1">
      <alignment vertical="center" wrapText="1" readingOrder="1"/>
    </xf>
    <xf numFmtId="0" fontId="57" fillId="3" borderId="11" xfId="0" applyFont="1" applyFill="1" applyBorder="1" applyAlignment="1">
      <alignment horizontal="left" vertical="center" wrapText="1"/>
    </xf>
    <xf numFmtId="0" fontId="57" fillId="3" borderId="1" xfId="0" applyFont="1" applyFill="1" applyBorder="1" applyAlignment="1">
      <alignment horizontal="left" vertical="center" wrapText="1"/>
    </xf>
    <xf numFmtId="181" fontId="2" fillId="0" borderId="41" xfId="0" applyNumberFormat="1" applyFont="1" applyBorder="1"/>
    <xf numFmtId="181" fontId="2" fillId="0" borderId="1" xfId="0" applyNumberFormat="1" applyFont="1" applyBorder="1"/>
    <xf numFmtId="174" fontId="0" fillId="0" borderId="1" xfId="0" applyNumberFormat="1" applyBorder="1"/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183" fontId="2" fillId="0" borderId="1" xfId="23" applyNumberFormat="1" applyFont="1" applyBorder="1" applyAlignment="1">
      <alignment horizontal="left" vertical="center"/>
    </xf>
    <xf numFmtId="184" fontId="2" fillId="0" borderId="1" xfId="23" applyNumberFormat="1" applyFont="1" applyBorder="1" applyAlignment="1">
      <alignment horizontal="left" vertical="center"/>
    </xf>
    <xf numFmtId="1" fontId="0" fillId="0" borderId="4" xfId="0" applyNumberFormat="1" applyBorder="1" applyAlignment="1">
      <alignment vertical="center"/>
    </xf>
    <xf numFmtId="183" fontId="0" fillId="0" borderId="4" xfId="23" applyNumberFormat="1" applyFont="1" applyBorder="1" applyAlignment="1">
      <alignment vertical="center"/>
    </xf>
    <xf numFmtId="0" fontId="19" fillId="13" borderId="0" xfId="7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74" fontId="48" fillId="17" borderId="12" xfId="0" applyNumberFormat="1" applyFont="1" applyFill="1" applyBorder="1" applyAlignment="1">
      <alignment vertical="center"/>
    </xf>
    <xf numFmtId="175" fontId="58" fillId="14" borderId="1" xfId="0" applyNumberFormat="1" applyFont="1" applyFill="1" applyBorder="1"/>
    <xf numFmtId="175" fontId="0" fillId="22" borderId="1" xfId="0" applyNumberFormat="1" applyFill="1" applyBorder="1"/>
    <xf numFmtId="9" fontId="0" fillId="0" borderId="1" xfId="1" applyFont="1" applyBorder="1"/>
    <xf numFmtId="170" fontId="0" fillId="0" borderId="1" xfId="1" applyNumberFormat="1" applyFont="1" applyBorder="1"/>
    <xf numFmtId="10" fontId="0" fillId="0" borderId="1" xfId="0" applyNumberFormat="1" applyBorder="1"/>
    <xf numFmtId="0" fontId="3" fillId="14" borderId="0" xfId="0" applyFont="1" applyFill="1"/>
    <xf numFmtId="0" fontId="0" fillId="22" borderId="1" xfId="0" applyFill="1" applyBorder="1"/>
    <xf numFmtId="0" fontId="59" fillId="0" borderId="0" xfId="0" applyFont="1" applyAlignment="1">
      <alignment vertical="center"/>
    </xf>
    <xf numFmtId="180" fontId="0" fillId="0" borderId="0" xfId="0" applyNumberFormat="1" applyAlignment="1">
      <alignment vertical="center" wrapText="1"/>
    </xf>
    <xf numFmtId="187" fontId="0" fillId="0" borderId="4" xfId="15" applyNumberFormat="1" applyFont="1" applyBorder="1" applyAlignment="1">
      <alignment vertical="center" wrapText="1"/>
    </xf>
    <xf numFmtId="9" fontId="0" fillId="0" borderId="0" xfId="1" applyFont="1" applyBorder="1"/>
    <xf numFmtId="10" fontId="0" fillId="0" borderId="0" xfId="0" applyNumberFormat="1"/>
    <xf numFmtId="0" fontId="0" fillId="0" borderId="16" xfId="0" applyBorder="1"/>
    <xf numFmtId="43" fontId="0" fillId="0" borderId="1" xfId="15" applyFont="1" applyBorder="1"/>
    <xf numFmtId="187" fontId="0" fillId="0" borderId="1" xfId="1" applyNumberFormat="1" applyFont="1" applyBorder="1"/>
    <xf numFmtId="166" fontId="21" fillId="0" borderId="0" xfId="0" applyNumberFormat="1" applyFont="1"/>
    <xf numFmtId="172" fontId="0" fillId="0" borderId="1" xfId="15" applyNumberFormat="1" applyFont="1" applyBorder="1"/>
    <xf numFmtId="172" fontId="0" fillId="0" borderId="0" xfId="15" applyNumberFormat="1" applyFont="1" applyBorder="1"/>
    <xf numFmtId="0" fontId="60" fillId="11" borderId="0" xfId="0" applyFont="1" applyFill="1" applyAlignment="1">
      <alignment horizontal="center"/>
    </xf>
    <xf numFmtId="0" fontId="61" fillId="11" borderId="0" xfId="0" applyFont="1" applyFill="1" applyAlignment="1">
      <alignment horizontal="center"/>
    </xf>
    <xf numFmtId="0" fontId="62" fillId="11" borderId="0" xfId="0" applyFont="1" applyFill="1" applyAlignment="1">
      <alignment horizontal="center"/>
    </xf>
    <xf numFmtId="9" fontId="33" fillId="11" borderId="1" xfId="0" applyNumberFormat="1" applyFont="1" applyFill="1" applyBorder="1" applyAlignment="1">
      <alignment horizontal="center"/>
    </xf>
    <xf numFmtId="9" fontId="34" fillId="11" borderId="1" xfId="0" applyNumberFormat="1" applyFont="1" applyFill="1" applyBorder="1" applyAlignment="1">
      <alignment horizontal="center"/>
    </xf>
    <xf numFmtId="9" fontId="38" fillId="11" borderId="1" xfId="0" applyNumberFormat="1" applyFont="1" applyFill="1" applyBorder="1" applyAlignment="1">
      <alignment horizontal="center"/>
    </xf>
    <xf numFmtId="0" fontId="31" fillId="0" borderId="0" xfId="0" applyFont="1" applyAlignment="1">
      <alignment vertical="top" wrapText="1"/>
    </xf>
    <xf numFmtId="178" fontId="20" fillId="0" borderId="0" xfId="0" applyNumberFormat="1" applyFont="1" applyAlignment="1">
      <alignment vertical="center"/>
    </xf>
    <xf numFmtId="0" fontId="56" fillId="0" borderId="1" xfId="0" applyFont="1" applyBorder="1" applyAlignment="1">
      <alignment vertical="center" wrapText="1"/>
    </xf>
    <xf numFmtId="1" fontId="63" fillId="0" borderId="16" xfId="0" applyNumberFormat="1" applyFont="1" applyBorder="1"/>
    <xf numFmtId="1" fontId="64" fillId="0" borderId="16" xfId="0" applyNumberFormat="1" applyFont="1" applyBorder="1"/>
    <xf numFmtId="0" fontId="65" fillId="12" borderId="15" xfId="0" applyFont="1" applyFill="1" applyBorder="1" applyAlignment="1">
      <alignment horizontal="right" vertical="center"/>
    </xf>
    <xf numFmtId="172" fontId="63" fillId="0" borderId="16" xfId="15" applyNumberFormat="1" applyFont="1" applyBorder="1"/>
    <xf numFmtId="0" fontId="51" fillId="0" borderId="15" xfId="0" applyFont="1" applyBorder="1"/>
    <xf numFmtId="0" fontId="51" fillId="0" borderId="16" xfId="0" applyFont="1" applyBorder="1"/>
    <xf numFmtId="0" fontId="65" fillId="12" borderId="13" xfId="0" applyFont="1" applyFill="1" applyBorder="1" applyAlignment="1">
      <alignment horizontal="right" vertical="center"/>
    </xf>
    <xf numFmtId="172" fontId="63" fillId="0" borderId="20" xfId="15" applyNumberFormat="1" applyFont="1" applyBorder="1"/>
    <xf numFmtId="172" fontId="51" fillId="0" borderId="1" xfId="0" applyNumberFormat="1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0" fillId="9" borderId="0" xfId="0" applyFill="1"/>
    <xf numFmtId="0" fontId="68" fillId="9" borderId="0" xfId="0" applyFont="1" applyFill="1"/>
    <xf numFmtId="0" fontId="73" fillId="0" borderId="45" xfId="0" applyFont="1" applyBorder="1" applyAlignment="1">
      <alignment horizontal="left" vertical="center" wrapText="1"/>
    </xf>
    <xf numFmtId="0" fontId="73" fillId="0" borderId="47" xfId="0" applyFont="1" applyBorder="1" applyAlignment="1">
      <alignment horizontal="left" vertical="center" wrapText="1"/>
    </xf>
    <xf numFmtId="0" fontId="70" fillId="23" borderId="48" xfId="0" applyFont="1" applyFill="1" applyBorder="1" applyAlignment="1">
      <alignment horizontal="center"/>
    </xf>
    <xf numFmtId="0" fontId="8" fillId="24" borderId="48" xfId="0" applyFont="1" applyFill="1" applyBorder="1" applyAlignment="1">
      <alignment vertical="center"/>
    </xf>
    <xf numFmtId="0" fontId="8" fillId="0" borderId="48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70" fillId="23" borderId="49" xfId="0" applyFont="1" applyFill="1" applyBorder="1" applyAlignment="1">
      <alignment horizontal="center"/>
    </xf>
    <xf numFmtId="17" fontId="0" fillId="0" borderId="49" xfId="0" applyNumberFormat="1" applyBorder="1" applyAlignment="1">
      <alignment horizontal="left" vertical="center" wrapText="1"/>
    </xf>
    <xf numFmtId="172" fontId="0" fillId="0" borderId="49" xfId="15" applyNumberFormat="1" applyFont="1" applyBorder="1" applyAlignment="1">
      <alignment horizontal="center" vertical="center" wrapText="1"/>
    </xf>
    <xf numFmtId="0" fontId="69" fillId="25" borderId="1" xfId="13" applyFont="1" applyFill="1" applyBorder="1" applyAlignment="1">
      <alignment horizontal="center" vertical="center" wrapText="1"/>
    </xf>
    <xf numFmtId="0" fontId="74" fillId="0" borderId="0" xfId="0" applyFont="1"/>
    <xf numFmtId="0" fontId="74" fillId="0" borderId="1" xfId="13" applyFont="1" applyBorder="1" applyAlignment="1">
      <alignment horizontal="center" vertical="center" wrapText="1"/>
    </xf>
    <xf numFmtId="9" fontId="74" fillId="0" borderId="1" xfId="13" applyNumberFormat="1" applyFont="1" applyBorder="1" applyAlignment="1">
      <alignment horizontal="center" vertical="center" wrapText="1"/>
    </xf>
    <xf numFmtId="9" fontId="74" fillId="0" borderId="1" xfId="13" quotePrefix="1" applyNumberFormat="1" applyFont="1" applyBorder="1" applyAlignment="1">
      <alignment horizontal="center" vertical="center" wrapText="1"/>
    </xf>
    <xf numFmtId="0" fontId="74" fillId="0" borderId="0" xfId="13" applyFont="1" applyAlignment="1">
      <alignment horizontal="center" vertical="center" wrapText="1"/>
    </xf>
    <xf numFmtId="9" fontId="74" fillId="0" borderId="0" xfId="13" quotePrefix="1" applyNumberFormat="1" applyFont="1" applyAlignment="1">
      <alignment horizontal="center" vertical="center" wrapText="1"/>
    </xf>
    <xf numFmtId="170" fontId="74" fillId="0" borderId="1" xfId="13" applyNumberFormat="1" applyFont="1" applyBorder="1" applyAlignment="1">
      <alignment horizontal="center" vertical="center" wrapText="1"/>
    </xf>
    <xf numFmtId="188" fontId="74" fillId="0" borderId="1" xfId="13" quotePrefix="1" applyNumberFormat="1" applyFont="1" applyBorder="1" applyAlignment="1">
      <alignment horizontal="center" vertical="center" wrapText="1"/>
    </xf>
    <xf numFmtId="170" fontId="74" fillId="0" borderId="1" xfId="13" quotePrefix="1" applyNumberFormat="1" applyFont="1" applyBorder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74" fillId="0" borderId="1" xfId="0" applyFont="1" applyBorder="1" applyAlignment="1">
      <alignment horizontal="center"/>
    </xf>
    <xf numFmtId="0" fontId="74" fillId="0" borderId="1" xfId="0" applyFont="1" applyBorder="1" applyAlignment="1">
      <alignment horizontal="center" wrapText="1"/>
    </xf>
    <xf numFmtId="14" fontId="0" fillId="0" borderId="1" xfId="1" applyNumberFormat="1" applyFont="1" applyBorder="1"/>
    <xf numFmtId="14" fontId="0" fillId="0" borderId="1" xfId="0" applyNumberFormat="1" applyBorder="1"/>
    <xf numFmtId="175" fontId="75" fillId="0" borderId="0" xfId="29" applyFont="1" applyAlignment="1">
      <alignment vertical="top"/>
    </xf>
    <xf numFmtId="49" fontId="70" fillId="26" borderId="1" xfId="0" applyNumberFormat="1" applyFont="1" applyFill="1" applyBorder="1" applyAlignment="1" applyProtection="1">
      <alignment horizontal="center" vertical="center" wrapText="1"/>
      <protection locked="0"/>
    </xf>
    <xf numFmtId="49" fontId="70" fillId="27" borderId="1" xfId="0" applyNumberFormat="1" applyFont="1" applyFill="1" applyBorder="1" applyAlignment="1" applyProtection="1">
      <alignment horizontal="center" vertical="center" wrapText="1"/>
      <protection locked="0"/>
    </xf>
    <xf numFmtId="49" fontId="70" fillId="28" borderId="1" xfId="0" applyNumberFormat="1" applyFont="1" applyFill="1" applyBorder="1" applyAlignment="1" applyProtection="1">
      <alignment horizontal="center" vertical="center" wrapText="1"/>
      <protection locked="0"/>
    </xf>
    <xf numFmtId="49" fontId="70" fillId="29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76" fillId="26" borderId="1" xfId="0" applyFont="1" applyFill="1" applyBorder="1" applyAlignment="1" applyProtection="1">
      <alignment horizontal="center" vertical="center" wrapText="1"/>
      <protection locked="0"/>
    </xf>
    <xf numFmtId="0" fontId="79" fillId="0" borderId="1" xfId="0" applyFont="1" applyBorder="1" applyAlignment="1" applyProtection="1">
      <alignment horizontal="left" vertical="center" wrapText="1"/>
      <protection locked="0"/>
    </xf>
    <xf numFmtId="0" fontId="79" fillId="0" borderId="1" xfId="0" applyFont="1" applyBorder="1" applyAlignment="1" applyProtection="1">
      <alignment horizontal="center" vertical="center" wrapText="1"/>
      <protection locked="0"/>
    </xf>
    <xf numFmtId="9" fontId="79" fillId="0" borderId="1" xfId="0" applyNumberFormat="1" applyFont="1" applyBorder="1" applyAlignment="1" applyProtection="1">
      <alignment horizontal="center" vertical="center" wrapText="1"/>
      <protection locked="0"/>
    </xf>
    <xf numFmtId="171" fontId="79" fillId="0" borderId="1" xfId="0" applyNumberFormat="1" applyFont="1" applyBorder="1" applyAlignment="1" applyProtection="1">
      <alignment vertical="center" wrapText="1"/>
      <protection locked="0"/>
    </xf>
    <xf numFmtId="171" fontId="79" fillId="30" borderId="1" xfId="0" applyNumberFormat="1" applyFont="1" applyFill="1" applyBorder="1" applyAlignment="1" applyProtection="1">
      <alignment vertical="center" wrapText="1"/>
      <protection locked="0"/>
    </xf>
    <xf numFmtId="0" fontId="79" fillId="31" borderId="1" xfId="0" applyFont="1" applyFill="1" applyBorder="1" applyAlignment="1">
      <alignment horizontal="center" vertical="center"/>
    </xf>
    <xf numFmtId="188" fontId="79" fillId="0" borderId="1" xfId="0" applyNumberFormat="1" applyFont="1" applyBorder="1" applyAlignment="1" applyProtection="1">
      <alignment vertical="center" wrapText="1"/>
      <protection locked="0"/>
    </xf>
    <xf numFmtId="14" fontId="79" fillId="0" borderId="1" xfId="0" applyNumberFormat="1" applyFont="1" applyBorder="1" applyAlignment="1" applyProtection="1">
      <alignment horizontal="center" vertical="center"/>
      <protection locked="0"/>
    </xf>
    <xf numFmtId="0" fontId="79" fillId="0" borderId="1" xfId="0" applyFont="1" applyBorder="1" applyAlignment="1" applyProtection="1">
      <alignment horizontal="center" vertical="center"/>
      <protection locked="0"/>
    </xf>
    <xf numFmtId="171" fontId="2" fillId="0" borderId="0" xfId="0" applyNumberFormat="1" applyFont="1"/>
    <xf numFmtId="175" fontId="74" fillId="0" borderId="1" xfId="0" applyNumberFormat="1" applyFont="1" applyBorder="1" applyAlignment="1">
      <alignment horizontal="left"/>
    </xf>
    <xf numFmtId="9" fontId="21" fillId="0" borderId="1" xfId="0" applyNumberFormat="1" applyFont="1" applyBorder="1"/>
    <xf numFmtId="164" fontId="0" fillId="0" borderId="1" xfId="23" applyFont="1" applyBorder="1"/>
    <xf numFmtId="189" fontId="0" fillId="0" borderId="1" xfId="23" applyNumberFormat="1" applyFont="1" applyBorder="1"/>
    <xf numFmtId="189" fontId="0" fillId="0" borderId="1" xfId="0" applyNumberFormat="1" applyBorder="1"/>
    <xf numFmtId="189" fontId="0" fillId="0" borderId="1" xfId="1" applyNumberFormat="1" applyFont="1" applyBorder="1"/>
    <xf numFmtId="0" fontId="0" fillId="0" borderId="1" xfId="1" applyNumberFormat="1" applyFont="1" applyBorder="1"/>
    <xf numFmtId="0" fontId="13" fillId="0" borderId="0" xfId="0" applyFont="1" applyAlignment="1">
      <alignment horizontal="right" vertical="center"/>
    </xf>
    <xf numFmtId="172" fontId="44" fillId="0" borderId="1" xfId="0" applyNumberFormat="1" applyFont="1" applyBorder="1" applyAlignment="1">
      <alignment horizontal="right" vertical="center" wrapText="1" readingOrder="1"/>
    </xf>
    <xf numFmtId="186" fontId="44" fillId="0" borderId="1" xfId="0" applyNumberFormat="1" applyFont="1" applyBorder="1" applyAlignment="1">
      <alignment horizontal="right" vertical="center" wrapText="1" readingOrder="1"/>
    </xf>
    <xf numFmtId="172" fontId="5" fillId="3" borderId="1" xfId="0" applyNumberFormat="1" applyFont="1" applyFill="1" applyBorder="1" applyAlignment="1">
      <alignment horizontal="right" vertical="center" wrapText="1" readingOrder="1"/>
    </xf>
    <xf numFmtId="183" fontId="44" fillId="3" borderId="1" xfId="23" applyNumberFormat="1" applyFont="1" applyFill="1" applyBorder="1" applyAlignment="1">
      <alignment horizontal="right" vertical="center" wrapText="1" readingOrder="1"/>
    </xf>
    <xf numFmtId="9" fontId="44" fillId="3" borderId="1" xfId="1" applyFont="1" applyFill="1" applyBorder="1" applyAlignment="1">
      <alignment horizontal="right" vertical="center" wrapText="1" readingOrder="1"/>
    </xf>
    <xf numFmtId="14" fontId="5" fillId="3" borderId="1" xfId="0" applyNumberFormat="1" applyFont="1" applyFill="1" applyBorder="1" applyAlignment="1">
      <alignment horizontal="right" vertical="center" wrapText="1" readingOrder="1"/>
    </xf>
    <xf numFmtId="0" fontId="5" fillId="3" borderId="1" xfId="0" applyFont="1" applyFill="1" applyBorder="1" applyAlignment="1">
      <alignment horizontal="right" vertical="center" wrapText="1" readingOrder="1"/>
    </xf>
    <xf numFmtId="14" fontId="0" fillId="0" borderId="4" xfId="0" applyNumberFormat="1" applyBorder="1" applyAlignment="1">
      <alignment horizontal="left" vertical="center" wrapText="1"/>
    </xf>
    <xf numFmtId="0" fontId="0" fillId="0" borderId="4" xfId="0" applyBorder="1"/>
    <xf numFmtId="0" fontId="2" fillId="32" borderId="4" xfId="0" applyFont="1" applyFill="1" applyBorder="1" applyAlignment="1">
      <alignment vertical="center" wrapText="1"/>
    </xf>
    <xf numFmtId="0" fontId="2" fillId="32" borderId="4" xfId="0" applyFont="1" applyFill="1" applyBorder="1" applyAlignment="1">
      <alignment horizontal="right" vertical="center" wrapText="1"/>
    </xf>
    <xf numFmtId="14" fontId="0" fillId="0" borderId="4" xfId="0" applyNumberFormat="1" applyBorder="1"/>
    <xf numFmtId="0" fontId="0" fillId="0" borderId="4" xfId="0" applyBorder="1" applyAlignment="1">
      <alignment horizontal="right"/>
    </xf>
    <xf numFmtId="175" fontId="41" fillId="0" borderId="0" xfId="29" applyFont="1" applyAlignment="1">
      <alignment horizontal="left" vertical="top" wrapText="1"/>
    </xf>
    <xf numFmtId="175" fontId="41" fillId="0" borderId="0" xfId="29" applyFont="1" applyAlignment="1">
      <alignment horizontal="center" vertical="center" wrapText="1"/>
    </xf>
    <xf numFmtId="0" fontId="82" fillId="0" borderId="1" xfId="29" applyNumberFormat="1" applyFont="1" applyBorder="1" applyAlignment="1" applyProtection="1">
      <alignment horizontal="center" vertical="center" wrapText="1"/>
      <protection locked="0"/>
    </xf>
    <xf numFmtId="0" fontId="42" fillId="0" borderId="1" xfId="29" applyNumberFormat="1" applyFont="1" applyBorder="1" applyAlignment="1" applyProtection="1">
      <alignment horizontal="left" vertical="center" wrapText="1"/>
      <protection locked="0"/>
    </xf>
    <xf numFmtId="175" fontId="41" fillId="0" borderId="1" xfId="29" applyFont="1" applyBorder="1" applyAlignment="1">
      <alignment vertical="center" wrapText="1"/>
    </xf>
    <xf numFmtId="0" fontId="41" fillId="0" borderId="1" xfId="29" applyNumberFormat="1" applyFont="1" applyBorder="1" applyAlignment="1">
      <alignment horizontal="left" vertical="center" wrapText="1"/>
    </xf>
    <xf numFmtId="0" fontId="83" fillId="33" borderId="1" xfId="29" applyNumberFormat="1" applyFont="1" applyFill="1" applyBorder="1" applyAlignment="1">
      <alignment vertical="center" wrapText="1"/>
    </xf>
    <xf numFmtId="0" fontId="84" fillId="15" borderId="1" xfId="29" applyNumberFormat="1" applyFont="1" applyFill="1" applyBorder="1" applyAlignment="1">
      <alignment vertical="center" wrapText="1"/>
    </xf>
    <xf numFmtId="0" fontId="84" fillId="15" borderId="1" xfId="29" applyNumberFormat="1" applyFont="1" applyFill="1" applyBorder="1" applyAlignment="1">
      <alignment horizontal="left" vertical="center" wrapText="1"/>
    </xf>
    <xf numFmtId="14" fontId="83" fillId="15" borderId="1" xfId="29" applyNumberFormat="1" applyFont="1" applyFill="1" applyBorder="1" applyAlignment="1">
      <alignment vertical="center" wrapText="1"/>
    </xf>
    <xf numFmtId="9" fontId="84" fillId="15" borderId="1" xfId="29" applyNumberFormat="1" applyFont="1" applyFill="1" applyBorder="1" applyAlignment="1">
      <alignment vertical="center" wrapText="1"/>
    </xf>
    <xf numFmtId="175" fontId="84" fillId="0" borderId="1" xfId="29" applyFont="1" applyBorder="1" applyAlignment="1">
      <alignment horizontal="left" vertical="top" wrapText="1"/>
    </xf>
    <xf numFmtId="49" fontId="84" fillId="15" borderId="1" xfId="29" applyNumberFormat="1" applyFont="1" applyFill="1" applyBorder="1" applyAlignment="1">
      <alignment horizontal="center" vertical="center" wrapText="1"/>
    </xf>
    <xf numFmtId="175" fontId="84" fillId="0" borderId="0" xfId="29" applyFont="1" applyAlignment="1">
      <alignment horizontal="left" vertical="top" wrapText="1"/>
    </xf>
    <xf numFmtId="0" fontId="41" fillId="33" borderId="1" xfId="29" applyNumberFormat="1" applyFont="1" applyFill="1" applyBorder="1" applyAlignment="1">
      <alignment vertical="center" wrapText="1"/>
    </xf>
    <xf numFmtId="49" fontId="84" fillId="0" borderId="1" xfId="29" applyNumberFormat="1" applyFont="1" applyBorder="1" applyAlignment="1">
      <alignment horizontal="left" vertical="center" wrapText="1"/>
    </xf>
    <xf numFmtId="14" fontId="41" fillId="0" borderId="1" xfId="29" applyNumberFormat="1" applyFont="1" applyBorder="1" applyAlignment="1">
      <alignment horizontal="center" vertical="center" wrapText="1"/>
    </xf>
    <xf numFmtId="175" fontId="71" fillId="0" borderId="1" xfId="29" applyFont="1" applyBorder="1" applyAlignment="1">
      <alignment horizontal="center" vertical="center"/>
    </xf>
    <xf numFmtId="49" fontId="84" fillId="0" borderId="1" xfId="29" applyNumberFormat="1" applyFont="1" applyBorder="1" applyAlignment="1">
      <alignment horizontal="center" vertical="center" wrapText="1"/>
    </xf>
    <xf numFmtId="175" fontId="41" fillId="0" borderId="1" xfId="29" applyFont="1" applyBorder="1" applyAlignment="1">
      <alignment vertical="top" wrapText="1"/>
    </xf>
    <xf numFmtId="175" fontId="41" fillId="0" borderId="1" xfId="29" applyFont="1" applyBorder="1" applyAlignment="1">
      <alignment horizontal="left" vertical="top" wrapText="1"/>
    </xf>
    <xf numFmtId="49" fontId="84" fillId="15" borderId="1" xfId="29" applyNumberFormat="1" applyFont="1" applyFill="1" applyBorder="1" applyAlignment="1">
      <alignment horizontal="left" vertical="center" wrapText="1"/>
    </xf>
    <xf numFmtId="0" fontId="82" fillId="0" borderId="1" xfId="30" applyNumberFormat="1" applyFont="1" applyBorder="1" applyAlignment="1">
      <alignment horizontal="center" vertical="center" wrapText="1"/>
    </xf>
    <xf numFmtId="0" fontId="82" fillId="15" borderId="1" xfId="30" applyNumberFormat="1" applyFont="1" applyFill="1" applyBorder="1" applyAlignment="1">
      <alignment horizontal="left" vertical="center" wrapText="1"/>
    </xf>
    <xf numFmtId="175" fontId="12" fillId="15" borderId="1" xfId="29" applyFill="1" applyBorder="1" applyAlignment="1">
      <alignment vertical="center"/>
    </xf>
    <xf numFmtId="175" fontId="12" fillId="15" borderId="1" xfId="29" applyFill="1" applyBorder="1"/>
    <xf numFmtId="0" fontId="84" fillId="0" borderId="1" xfId="29" applyNumberFormat="1" applyFont="1" applyBorder="1" applyAlignment="1">
      <alignment vertical="center" wrapText="1"/>
    </xf>
    <xf numFmtId="175" fontId="86" fillId="0" borderId="1" xfId="29" applyFont="1" applyBorder="1" applyAlignment="1">
      <alignment vertical="top" wrapText="1"/>
    </xf>
    <xf numFmtId="175" fontId="41" fillId="15" borderId="1" xfId="29" applyFont="1" applyFill="1" applyBorder="1" applyAlignment="1">
      <alignment vertical="center" wrapText="1"/>
    </xf>
    <xf numFmtId="0" fontId="41" fillId="15" borderId="1" xfId="29" applyNumberFormat="1" applyFont="1" applyFill="1" applyBorder="1" applyAlignment="1">
      <alignment horizontal="left" vertical="center" wrapText="1"/>
    </xf>
    <xf numFmtId="0" fontId="82" fillId="0" borderId="1" xfId="30" applyNumberFormat="1" applyFont="1" applyBorder="1" applyAlignment="1">
      <alignment horizontal="left" vertical="center" wrapText="1"/>
    </xf>
    <xf numFmtId="0" fontId="41" fillId="0" borderId="1" xfId="29" applyNumberFormat="1" applyFont="1" applyBorder="1" applyAlignment="1">
      <alignment vertical="center" wrapText="1"/>
    </xf>
    <xf numFmtId="175" fontId="12" fillId="0" borderId="1" xfId="29" applyBorder="1" applyAlignment="1">
      <alignment vertical="center"/>
    </xf>
    <xf numFmtId="9" fontId="84" fillId="0" borderId="1" xfId="29" applyNumberFormat="1" applyFont="1" applyBorder="1" applyAlignment="1">
      <alignment vertical="center" wrapText="1"/>
    </xf>
    <xf numFmtId="175" fontId="12" fillId="0" borderId="1" xfId="29" applyBorder="1" applyAlignment="1">
      <alignment horizontal="center" vertical="center"/>
    </xf>
    <xf numFmtId="175" fontId="12" fillId="0" borderId="1" xfId="29" applyBorder="1"/>
    <xf numFmtId="0" fontId="83" fillId="0" borderId="1" xfId="29" applyNumberFormat="1" applyFont="1" applyBorder="1" applyAlignment="1">
      <alignment vertical="center" wrapText="1"/>
    </xf>
    <xf numFmtId="0" fontId="81" fillId="0" borderId="1" xfId="29" applyNumberFormat="1" applyFont="1" applyBorder="1" applyAlignment="1">
      <alignment horizontal="center" vertical="center" wrapText="1"/>
    </xf>
    <xf numFmtId="0" fontId="42" fillId="0" borderId="1" xfId="29" applyNumberFormat="1" applyFont="1" applyBorder="1" applyAlignment="1">
      <alignment horizontal="left" vertical="center" wrapText="1"/>
    </xf>
    <xf numFmtId="14" fontId="83" fillId="0" borderId="1" xfId="29" applyNumberFormat="1" applyFont="1" applyBorder="1" applyAlignment="1">
      <alignment horizontal="center" vertical="center" wrapText="1"/>
    </xf>
    <xf numFmtId="175" fontId="41" fillId="0" borderId="1" xfId="29" applyFont="1" applyBorder="1" applyAlignment="1">
      <alignment horizontal="left" vertical="center" wrapText="1"/>
    </xf>
    <xf numFmtId="0" fontId="41" fillId="15" borderId="1" xfId="29" applyNumberFormat="1" applyFont="1" applyFill="1" applyBorder="1" applyAlignment="1">
      <alignment vertical="center" wrapText="1"/>
    </xf>
    <xf numFmtId="175" fontId="12" fillId="15" borderId="1" xfId="29" applyFill="1" applyBorder="1" applyAlignment="1">
      <alignment vertical="center" wrapText="1"/>
    </xf>
    <xf numFmtId="175" fontId="41" fillId="0" borderId="0" xfId="29" applyFont="1" applyAlignment="1">
      <alignment horizontal="left" vertical="center" wrapText="1"/>
    </xf>
    <xf numFmtId="175" fontId="84" fillId="0" borderId="0" xfId="29" applyFont="1" applyAlignment="1">
      <alignment horizontal="center" vertical="center" wrapText="1"/>
    </xf>
    <xf numFmtId="175" fontId="12" fillId="0" borderId="0" xfId="29" applyAlignment="1">
      <alignment vertical="top" wrapText="1"/>
    </xf>
    <xf numFmtId="175" fontId="12" fillId="0" borderId="0" xfId="29" applyAlignment="1">
      <alignment vertical="center" wrapText="1"/>
    </xf>
    <xf numFmtId="1" fontId="84" fillId="0" borderId="1" xfId="29" applyNumberFormat="1" applyFont="1" applyBorder="1" applyAlignment="1">
      <alignment horizontal="center" vertical="center" wrapText="1"/>
    </xf>
    <xf numFmtId="14" fontId="84" fillId="0" borderId="1" xfId="34" applyNumberFormat="1" applyFont="1" applyBorder="1" applyAlignment="1">
      <alignment horizontal="center" vertical="center"/>
    </xf>
    <xf numFmtId="175" fontId="84" fillId="0" borderId="1" xfId="29" applyFont="1" applyBorder="1" applyAlignment="1">
      <alignment horizontal="left" vertical="center" wrapText="1"/>
    </xf>
    <xf numFmtId="0" fontId="42" fillId="0" borderId="1" xfId="29" applyNumberFormat="1" applyFont="1" applyBorder="1" applyAlignment="1">
      <alignment horizontal="center" vertical="center" wrapText="1"/>
    </xf>
    <xf numFmtId="9" fontId="41" fillId="0" borderId="1" xfId="29" applyNumberFormat="1" applyFont="1" applyBorder="1" applyAlignment="1">
      <alignment horizontal="left" vertical="center" wrapText="1"/>
    </xf>
    <xf numFmtId="0" fontId="84" fillId="0" borderId="1" xfId="29" applyNumberFormat="1" applyFont="1" applyBorder="1" applyAlignment="1">
      <alignment horizontal="left" vertical="center" wrapText="1"/>
    </xf>
    <xf numFmtId="0" fontId="82" fillId="15" borderId="1" xfId="30" applyNumberFormat="1" applyFont="1" applyFill="1" applyBorder="1" applyAlignment="1">
      <alignment vertical="center" wrapText="1"/>
    </xf>
    <xf numFmtId="0" fontId="41" fillId="0" borderId="0" xfId="29" applyNumberFormat="1" applyFont="1" applyAlignment="1">
      <alignment horizontal="left" vertical="center" wrapText="1"/>
    </xf>
    <xf numFmtId="175" fontId="41" fillId="0" borderId="0" xfId="29" applyFont="1" applyAlignment="1">
      <alignment vertical="top" wrapText="1"/>
    </xf>
    <xf numFmtId="175" fontId="12" fillId="0" borderId="0" xfId="29"/>
    <xf numFmtId="175" fontId="12" fillId="15" borderId="0" xfId="29" applyFill="1"/>
    <xf numFmtId="175" fontId="87" fillId="0" borderId="0" xfId="29" applyFont="1" applyAlignment="1">
      <alignment horizontal="center" vertical="center" wrapText="1"/>
    </xf>
    <xf numFmtId="175" fontId="12" fillId="9" borderId="0" xfId="29" applyFill="1"/>
    <xf numFmtId="175" fontId="88" fillId="3" borderId="0" xfId="29" applyFont="1" applyFill="1" applyAlignment="1">
      <alignment horizontal="center" vertical="center" wrapText="1"/>
    </xf>
    <xf numFmtId="0" fontId="84" fillId="0" borderId="0" xfId="29" applyNumberFormat="1" applyFont="1" applyAlignment="1">
      <alignment horizontal="left" vertical="top" wrapText="1"/>
    </xf>
    <xf numFmtId="0" fontId="41" fillId="0" borderId="0" xfId="29" applyNumberFormat="1" applyFont="1" applyAlignment="1">
      <alignment horizontal="left" vertical="top" wrapText="1"/>
    </xf>
    <xf numFmtId="175" fontId="12" fillId="0" borderId="0" xfId="29" applyAlignment="1">
      <alignment horizontal="left" vertical="center" wrapText="1"/>
    </xf>
    <xf numFmtId="0" fontId="84" fillId="0" borderId="0" xfId="29" applyNumberFormat="1" applyFont="1" applyAlignment="1">
      <alignment horizontal="center" vertical="center" wrapText="1"/>
    </xf>
    <xf numFmtId="0" fontId="92" fillId="0" borderId="0" xfId="29" applyNumberFormat="1" applyFont="1" applyAlignment="1">
      <alignment horizontal="right" vertical="center" wrapText="1"/>
    </xf>
    <xf numFmtId="0" fontId="12" fillId="0" borderId="0" xfId="29" applyNumberFormat="1" applyAlignment="1">
      <alignment vertical="top" wrapText="1"/>
    </xf>
    <xf numFmtId="0" fontId="12" fillId="0" borderId="0" xfId="29" applyNumberFormat="1" applyAlignment="1">
      <alignment vertical="center" wrapText="1"/>
    </xf>
    <xf numFmtId="175" fontId="92" fillId="0" borderId="0" xfId="29" applyFont="1" applyAlignment="1">
      <alignment horizontal="right" vertical="center" wrapText="1"/>
    </xf>
    <xf numFmtId="0" fontId="81" fillId="3" borderId="1" xfId="29" applyNumberFormat="1" applyFont="1" applyFill="1" applyBorder="1" applyAlignment="1">
      <alignment horizontal="center" vertical="center" wrapText="1"/>
    </xf>
    <xf numFmtId="0" fontId="81" fillId="3" borderId="1" xfId="29" applyNumberFormat="1" applyFont="1" applyFill="1" applyBorder="1" applyAlignment="1">
      <alignment horizontal="left" vertical="center" wrapText="1"/>
    </xf>
    <xf numFmtId="0" fontId="88" fillId="3" borderId="1" xfId="29" applyNumberFormat="1" applyFont="1" applyFill="1" applyBorder="1" applyAlignment="1">
      <alignment horizontal="center" vertical="center" wrapText="1"/>
    </xf>
    <xf numFmtId="175" fontId="89" fillId="3" borderId="1" xfId="29" applyFont="1" applyFill="1" applyBorder="1" applyAlignment="1">
      <alignment vertical="center" wrapText="1"/>
    </xf>
    <xf numFmtId="0" fontId="88" fillId="3" borderId="1" xfId="29" applyNumberFormat="1" applyFont="1" applyFill="1" applyBorder="1" applyAlignment="1">
      <alignment horizontal="center" vertical="top" wrapText="1"/>
    </xf>
    <xf numFmtId="0" fontId="89" fillId="3" borderId="1" xfId="29" applyNumberFormat="1" applyFont="1" applyFill="1" applyBorder="1" applyAlignment="1">
      <alignment vertical="center" wrapText="1"/>
    </xf>
    <xf numFmtId="0" fontId="89" fillId="3" borderId="1" xfId="29" applyNumberFormat="1" applyFont="1" applyFill="1" applyBorder="1" applyAlignment="1">
      <alignment horizontal="center" vertical="center" wrapText="1"/>
    </xf>
    <xf numFmtId="0" fontId="84" fillId="0" borderId="1" xfId="29" applyNumberFormat="1" applyFont="1" applyBorder="1" applyAlignment="1">
      <alignment horizontal="left" vertical="top" wrapText="1"/>
    </xf>
    <xf numFmtId="0" fontId="41" fillId="0" borderId="1" xfId="29" applyNumberFormat="1" applyFont="1" applyBorder="1" applyAlignment="1">
      <alignment horizontal="left" vertical="top" wrapText="1"/>
    </xf>
    <xf numFmtId="0" fontId="90" fillId="34" borderId="1" xfId="29" applyNumberFormat="1" applyFont="1" applyFill="1" applyBorder="1" applyAlignment="1">
      <alignment horizontal="center" vertical="center" wrapText="1"/>
    </xf>
    <xf numFmtId="0" fontId="91" fillId="34" borderId="1" xfId="29" applyNumberFormat="1" applyFont="1" applyFill="1" applyBorder="1" applyAlignment="1">
      <alignment horizontal="center" vertical="top" wrapText="1"/>
    </xf>
    <xf numFmtId="1" fontId="84" fillId="0" borderId="11" xfId="29" applyNumberFormat="1" applyFont="1" applyBorder="1" applyAlignment="1">
      <alignment horizontal="center" vertical="center" wrapText="1"/>
    </xf>
    <xf numFmtId="49" fontId="84" fillId="0" borderId="11" xfId="29" applyNumberFormat="1" applyFont="1" applyBorder="1" applyAlignment="1">
      <alignment horizontal="center" vertical="center" wrapText="1"/>
    </xf>
    <xf numFmtId="175" fontId="41" fillId="0" borderId="11" xfId="29" applyFont="1" applyBorder="1" applyAlignment="1">
      <alignment vertical="top" wrapText="1"/>
    </xf>
    <xf numFmtId="175" fontId="12" fillId="0" borderId="11" xfId="29" applyBorder="1"/>
    <xf numFmtId="175" fontId="12" fillId="15" borderId="11" xfId="29" applyFill="1" applyBorder="1"/>
    <xf numFmtId="0" fontId="81" fillId="0" borderId="11" xfId="29" applyNumberFormat="1" applyFont="1" applyBorder="1" applyAlignment="1">
      <alignment horizontal="center" vertical="center" wrapText="1"/>
    </xf>
    <xf numFmtId="0" fontId="89" fillId="3" borderId="11" xfId="29" applyNumberFormat="1" applyFont="1" applyFill="1" applyBorder="1" applyAlignment="1">
      <alignment horizontal="center" vertical="center" wrapText="1"/>
    </xf>
    <xf numFmtId="0" fontId="84" fillId="0" borderId="11" xfId="29" applyNumberFormat="1" applyFont="1" applyBorder="1" applyAlignment="1">
      <alignment horizontal="left" vertical="top" wrapText="1"/>
    </xf>
    <xf numFmtId="175" fontId="88" fillId="0" borderId="0" xfId="29" applyFont="1" applyAlignment="1">
      <alignment horizontal="center" vertical="center" wrapText="1"/>
    </xf>
    <xf numFmtId="0" fontId="93" fillId="3" borderId="1" xfId="29" applyNumberFormat="1" applyFont="1" applyFill="1" applyBorder="1" applyAlignment="1">
      <alignment horizontal="center" vertical="center" wrapText="1"/>
    </xf>
    <xf numFmtId="175" fontId="94" fillId="0" borderId="0" xfId="29" applyFont="1" applyAlignment="1">
      <alignment horizontal="left" vertical="top" wrapText="1"/>
    </xf>
    <xf numFmtId="175" fontId="94" fillId="0" borderId="0" xfId="29" applyFont="1" applyAlignment="1">
      <alignment horizontal="center" vertical="center" wrapText="1"/>
    </xf>
    <xf numFmtId="0" fontId="93" fillId="3" borderId="11" xfId="29" applyNumberFormat="1" applyFont="1" applyFill="1" applyBorder="1" applyAlignment="1">
      <alignment horizontal="center" vertical="center" wrapText="1"/>
    </xf>
    <xf numFmtId="175" fontId="41" fillId="0" borderId="0" xfId="29" applyFont="1" applyAlignment="1">
      <alignment vertical="top"/>
    </xf>
    <xf numFmtId="175" fontId="41" fillId="0" borderId="52" xfId="29" applyFont="1" applyBorder="1" applyAlignment="1">
      <alignment vertical="top"/>
    </xf>
    <xf numFmtId="0" fontId="95" fillId="13" borderId="21" xfId="7" applyFont="1" applyFill="1" applyBorder="1" applyAlignment="1" applyProtection="1">
      <alignment horizontal="center" vertical="center"/>
    </xf>
    <xf numFmtId="0" fontId="96" fillId="0" borderId="1" xfId="0" applyFont="1" applyBorder="1" applyAlignment="1">
      <alignment horizontal="center" vertical="center"/>
    </xf>
    <xf numFmtId="0" fontId="96" fillId="0" borderId="47" xfId="0" applyFont="1" applyBorder="1" applyAlignment="1">
      <alignment horizontal="center" vertical="center"/>
    </xf>
    <xf numFmtId="0" fontId="96" fillId="0" borderId="44" xfId="0" applyFont="1" applyBorder="1" applyAlignment="1">
      <alignment horizontal="center" vertical="center"/>
    </xf>
    <xf numFmtId="0" fontId="96" fillId="0" borderId="45" xfId="0" applyFont="1" applyBorder="1" applyAlignment="1">
      <alignment horizontal="center" vertical="center"/>
    </xf>
    <xf numFmtId="0" fontId="96" fillId="0" borderId="44" xfId="0" applyFont="1" applyBorder="1" applyAlignment="1">
      <alignment horizontal="center" vertical="center" wrapText="1"/>
    </xf>
    <xf numFmtId="17" fontId="96" fillId="0" borderId="44" xfId="0" applyNumberFormat="1" applyFont="1" applyBorder="1" applyAlignment="1">
      <alignment horizontal="center" vertical="center"/>
    </xf>
    <xf numFmtId="17" fontId="96" fillId="0" borderId="1" xfId="0" applyNumberFormat="1" applyFont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97" fillId="0" borderId="54" xfId="0" applyFont="1" applyBorder="1" applyAlignment="1">
      <alignment vertical="center"/>
    </xf>
    <xf numFmtId="0" fontId="97" fillId="0" borderId="0" xfId="0" applyFont="1" applyAlignment="1">
      <alignment vertical="center"/>
    </xf>
    <xf numFmtId="0" fontId="50" fillId="0" borderId="58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57" xfId="0" applyFont="1" applyBorder="1" applyAlignment="1">
      <alignment horizontal="center" vertical="center" wrapText="1"/>
    </xf>
    <xf numFmtId="0" fontId="50" fillId="0" borderId="62" xfId="0" applyFont="1" applyBorder="1" applyAlignment="1">
      <alignment horizontal="center" vertical="center" wrapText="1"/>
    </xf>
    <xf numFmtId="0" fontId="96" fillId="0" borderId="1" xfId="0" applyFont="1" applyBorder="1" applyAlignment="1">
      <alignment horizontal="left" vertical="center" wrapText="1"/>
    </xf>
    <xf numFmtId="14" fontId="96" fillId="0" borderId="1" xfId="0" applyNumberFormat="1" applyFont="1" applyBorder="1" applyAlignment="1">
      <alignment horizontal="center" vertical="center"/>
    </xf>
    <xf numFmtId="0" fontId="96" fillId="0" borderId="44" xfId="0" applyFont="1" applyBorder="1" applyAlignment="1">
      <alignment horizontal="left" vertical="center" wrapText="1"/>
    </xf>
    <xf numFmtId="14" fontId="96" fillId="0" borderId="44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left" vertical="center" wrapText="1"/>
    </xf>
    <xf numFmtId="0" fontId="96" fillId="0" borderId="60" xfId="0" applyFont="1" applyBorder="1" applyAlignment="1">
      <alignment horizontal="center" vertical="center" wrapText="1"/>
    </xf>
    <xf numFmtId="1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4" fontId="96" fillId="0" borderId="60" xfId="0" applyNumberFormat="1" applyFont="1" applyBorder="1" applyAlignment="1">
      <alignment horizontal="center" vertical="center"/>
    </xf>
    <xf numFmtId="0" fontId="96" fillId="0" borderId="61" xfId="0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17" fontId="0" fillId="4" borderId="49" xfId="0" applyNumberFormat="1" applyFill="1" applyBorder="1" applyAlignment="1">
      <alignment horizontal="left" vertical="center" wrapText="1"/>
    </xf>
    <xf numFmtId="172" fontId="0" fillId="4" borderId="49" xfId="15" applyNumberFormat="1" applyFont="1" applyFill="1" applyBorder="1" applyAlignment="1">
      <alignment horizontal="center" vertical="center" wrapText="1"/>
    </xf>
    <xf numFmtId="172" fontId="0" fillId="0" borderId="49" xfId="15" applyNumberFormat="1" applyFont="1" applyFill="1" applyBorder="1" applyAlignment="1">
      <alignment horizontal="center" vertical="center" wrapText="1"/>
    </xf>
    <xf numFmtId="0" fontId="99" fillId="0" borderId="20" xfId="0" applyFont="1" applyBorder="1" applyAlignment="1">
      <alignment horizontal="center" vertical="center" wrapText="1"/>
    </xf>
    <xf numFmtId="0" fontId="99" fillId="0" borderId="12" xfId="0" applyFont="1" applyBorder="1" applyAlignment="1">
      <alignment horizontal="center" vertical="center" wrapText="1"/>
    </xf>
    <xf numFmtId="0" fontId="99" fillId="0" borderId="13" xfId="0" applyFont="1" applyBorder="1" applyAlignment="1">
      <alignment horizontal="center" vertical="center" wrapText="1"/>
    </xf>
    <xf numFmtId="0" fontId="100" fillId="0" borderId="1" xfId="0" applyFont="1" applyBorder="1" applyAlignment="1">
      <alignment horizontal="left" vertical="center"/>
    </xf>
    <xf numFmtId="9" fontId="100" fillId="0" borderId="1" xfId="0" applyNumberFormat="1" applyFont="1" applyBorder="1" applyAlignment="1">
      <alignment horizontal="left" vertical="center"/>
    </xf>
    <xf numFmtId="14" fontId="100" fillId="0" borderId="1" xfId="0" applyNumberFormat="1" applyFont="1" applyBorder="1" applyAlignment="1">
      <alignment horizontal="left" vertical="center"/>
    </xf>
    <xf numFmtId="172" fontId="100" fillId="0" borderId="1" xfId="15" applyNumberFormat="1" applyFont="1" applyFill="1" applyBorder="1" applyAlignment="1">
      <alignment horizontal="left" vertical="center"/>
    </xf>
    <xf numFmtId="0" fontId="100" fillId="0" borderId="11" xfId="0" applyFont="1" applyBorder="1" applyAlignment="1">
      <alignment horizontal="left" vertical="center"/>
    </xf>
    <xf numFmtId="0" fontId="100" fillId="0" borderId="19" xfId="0" applyFont="1" applyBorder="1" applyAlignment="1">
      <alignment horizontal="left" vertical="center"/>
    </xf>
    <xf numFmtId="180" fontId="0" fillId="5" borderId="4" xfId="0" applyNumberFormat="1" applyFill="1" applyBorder="1" applyAlignment="1">
      <alignment horizontal="right" vertical="center" wrapText="1"/>
    </xf>
    <xf numFmtId="0" fontId="45" fillId="35" borderId="11" xfId="0" applyFont="1" applyFill="1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6" fillId="5" borderId="4" xfId="0" applyFont="1" applyFill="1" applyBorder="1" applyAlignment="1">
      <alignment vertical="center" wrapText="1" readingOrder="1"/>
    </xf>
    <xf numFmtId="0" fontId="0" fillId="0" borderId="69" xfId="0" applyBorder="1"/>
    <xf numFmtId="0" fontId="0" fillId="5" borderId="4" xfId="0" applyFill="1" applyBorder="1"/>
    <xf numFmtId="0" fontId="8" fillId="0" borderId="4" xfId="0" applyFont="1" applyBorder="1"/>
    <xf numFmtId="0" fontId="8" fillId="0" borderId="5" xfId="0" applyFont="1" applyBorder="1"/>
    <xf numFmtId="0" fontId="8" fillId="0" borderId="70" xfId="0" applyFont="1" applyBorder="1"/>
    <xf numFmtId="0" fontId="8" fillId="0" borderId="6" xfId="0" applyFont="1" applyBorder="1"/>
    <xf numFmtId="0" fontId="102" fillId="0" borderId="0" xfId="0" applyFont="1"/>
    <xf numFmtId="0" fontId="102" fillId="0" borderId="4" xfId="0" applyFont="1" applyBorder="1"/>
    <xf numFmtId="0" fontId="8" fillId="0" borderId="71" xfId="0" applyFont="1" applyBorder="1"/>
    <xf numFmtId="0" fontId="8" fillId="0" borderId="72" xfId="0" applyFont="1" applyBorder="1"/>
    <xf numFmtId="0" fontId="0" fillId="0" borderId="1" xfId="0" applyBorder="1" applyAlignment="1">
      <alignment horizontal="left" vertical="center"/>
    </xf>
    <xf numFmtId="9" fontId="0" fillId="0" borderId="1" xfId="1" applyFont="1" applyBorder="1" applyAlignment="1">
      <alignment horizontal="left" vertical="center"/>
    </xf>
    <xf numFmtId="190" fontId="0" fillId="0" borderId="1" xfId="0" applyNumberForma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4" fontId="0" fillId="0" borderId="1" xfId="23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83" fontId="9" fillId="0" borderId="1" xfId="23" applyNumberFormat="1" applyFont="1" applyBorder="1" applyAlignment="1">
      <alignment horizontal="left" vertical="center"/>
    </xf>
    <xf numFmtId="184" fontId="9" fillId="0" borderId="1" xfId="23" applyNumberFormat="1" applyFont="1" applyBorder="1" applyAlignment="1">
      <alignment horizontal="left" vertical="center"/>
    </xf>
    <xf numFmtId="0" fontId="103" fillId="0" borderId="1" xfId="0" applyFont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0" fontId="0" fillId="0" borderId="46" xfId="0" applyBorder="1"/>
    <xf numFmtId="0" fontId="0" fillId="0" borderId="63" xfId="0" applyBorder="1"/>
    <xf numFmtId="0" fontId="80" fillId="0" borderId="1" xfId="0" applyFont="1" applyBorder="1" applyAlignment="1">
      <alignment horizontal="center" vertical="center" wrapText="1"/>
    </xf>
    <xf numFmtId="0" fontId="80" fillId="0" borderId="68" xfId="0" applyFont="1" applyBorder="1" applyAlignment="1">
      <alignment horizontal="center" vertical="center" wrapText="1"/>
    </xf>
    <xf numFmtId="14" fontId="80" fillId="0" borderId="1" xfId="0" applyNumberFormat="1" applyFont="1" applyBorder="1" applyAlignment="1">
      <alignment horizontal="center" vertical="center" wrapText="1"/>
    </xf>
    <xf numFmtId="9" fontId="80" fillId="0" borderId="47" xfId="1" applyFont="1" applyBorder="1" applyAlignment="1">
      <alignment horizontal="center" vertical="center" wrapText="1"/>
    </xf>
    <xf numFmtId="0" fontId="80" fillId="0" borderId="60" xfId="0" applyFont="1" applyBorder="1" applyAlignment="1">
      <alignment horizontal="center" vertical="center" wrapText="1"/>
    </xf>
    <xf numFmtId="9" fontId="80" fillId="0" borderId="61" xfId="1" applyFont="1" applyBorder="1" applyAlignment="1">
      <alignment horizontal="center" vertical="center" wrapText="1"/>
    </xf>
    <xf numFmtId="0" fontId="80" fillId="0" borderId="12" xfId="0" applyFont="1" applyBorder="1" applyAlignment="1">
      <alignment horizontal="center" vertical="center" wrapText="1"/>
    </xf>
    <xf numFmtId="9" fontId="80" fillId="0" borderId="74" xfId="1" applyFont="1" applyBorder="1" applyAlignment="1">
      <alignment horizontal="center" vertical="center" wrapText="1"/>
    </xf>
    <xf numFmtId="0" fontId="103" fillId="0" borderId="60" xfId="0" applyFont="1" applyBorder="1" applyAlignment="1">
      <alignment vertical="center" wrapText="1"/>
    </xf>
    <xf numFmtId="0" fontId="0" fillId="0" borderId="73" xfId="0" applyBorder="1"/>
    <xf numFmtId="0" fontId="103" fillId="0" borderId="12" xfId="0" applyFont="1" applyBorder="1" applyAlignment="1">
      <alignment vertical="center" wrapText="1"/>
    </xf>
    <xf numFmtId="14" fontId="80" fillId="0" borderId="60" xfId="0" applyNumberFormat="1" applyFont="1" applyBorder="1" applyAlignment="1">
      <alignment horizontal="center" vertical="center" wrapText="1"/>
    </xf>
    <xf numFmtId="14" fontId="80" fillId="0" borderId="12" xfId="0" applyNumberFormat="1" applyFont="1" applyBorder="1" applyAlignment="1">
      <alignment horizontal="center" vertical="center" wrapText="1"/>
    </xf>
    <xf numFmtId="0" fontId="80" fillId="0" borderId="79" xfId="0" applyFont="1" applyBorder="1" applyAlignment="1">
      <alignment horizontal="center" vertical="center" wrapText="1"/>
    </xf>
    <xf numFmtId="0" fontId="80" fillId="0" borderId="80" xfId="0" applyFont="1" applyBorder="1" applyAlignment="1">
      <alignment horizontal="center" vertical="center" wrapText="1"/>
    </xf>
    <xf numFmtId="0" fontId="80" fillId="0" borderId="81" xfId="0" applyFont="1" applyBorder="1" applyAlignment="1">
      <alignment horizontal="center" vertical="center" wrapText="1"/>
    </xf>
    <xf numFmtId="170" fontId="105" fillId="9" borderId="55" xfId="0" applyNumberFormat="1" applyFont="1" applyFill="1" applyBorder="1" applyAlignment="1">
      <alignment horizontal="center" vertical="center"/>
    </xf>
    <xf numFmtId="164" fontId="100" fillId="0" borderId="1" xfId="23" applyFont="1" applyBorder="1" applyAlignment="1">
      <alignment horizontal="left" vertical="center"/>
    </xf>
    <xf numFmtId="164" fontId="100" fillId="0" borderId="1" xfId="23" applyFont="1" applyFill="1" applyBorder="1" applyAlignment="1">
      <alignment horizontal="left" vertical="center"/>
    </xf>
    <xf numFmtId="170" fontId="0" fillId="0" borderId="4" xfId="1" applyNumberFormat="1" applyFont="1" applyBorder="1" applyAlignment="1">
      <alignment vertical="center"/>
    </xf>
    <xf numFmtId="181" fontId="0" fillId="0" borderId="0" xfId="0" applyNumberFormat="1"/>
    <xf numFmtId="9" fontId="21" fillId="0" borderId="0" xfId="1" applyFont="1"/>
    <xf numFmtId="175" fontId="3" fillId="14" borderId="1" xfId="0" applyNumberFormat="1" applyFont="1" applyFill="1" applyBorder="1"/>
    <xf numFmtId="0" fontId="0" fillId="18" borderId="4" xfId="0" applyFill="1" applyBorder="1" applyAlignment="1">
      <alignment horizontal="right" vertical="center"/>
    </xf>
    <xf numFmtId="0" fontId="107" fillId="0" borderId="1" xfId="0" applyFont="1" applyBorder="1" applyAlignment="1">
      <alignment horizontal="center" vertical="center" wrapText="1"/>
    </xf>
    <xf numFmtId="164" fontId="108" fillId="24" borderId="1" xfId="23" applyFont="1" applyFill="1" applyBorder="1" applyAlignment="1">
      <alignment horizontal="left" vertical="center"/>
    </xf>
    <xf numFmtId="14" fontId="108" fillId="24" borderId="1" xfId="0" applyNumberFormat="1" applyFont="1" applyFill="1" applyBorder="1" applyAlignment="1">
      <alignment horizontal="left" vertical="center"/>
    </xf>
    <xf numFmtId="0" fontId="108" fillId="0" borderId="1" xfId="0" applyFont="1" applyBorder="1" applyAlignment="1">
      <alignment horizontal="left" vertical="center"/>
    </xf>
    <xf numFmtId="164" fontId="108" fillId="0" borderId="1" xfId="23" applyFont="1" applyBorder="1" applyAlignment="1">
      <alignment horizontal="left" vertical="center"/>
    </xf>
    <xf numFmtId="14" fontId="108" fillId="0" borderId="1" xfId="0" applyNumberFormat="1" applyFont="1" applyBorder="1" applyAlignment="1">
      <alignment horizontal="left" vertical="center"/>
    </xf>
    <xf numFmtId="0" fontId="108" fillId="24" borderId="9" xfId="0" applyFont="1" applyFill="1" applyBorder="1" applyAlignment="1">
      <alignment horizontal="left" vertical="center"/>
    </xf>
    <xf numFmtId="0" fontId="108" fillId="0" borderId="9" xfId="0" applyFont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1" xfId="0" applyFont="1" applyBorder="1" applyAlignment="1">
      <alignment horizontal="left" vertical="center"/>
    </xf>
    <xf numFmtId="9" fontId="109" fillId="0" borderId="1" xfId="0" applyNumberFormat="1" applyFont="1" applyBorder="1" applyAlignment="1">
      <alignment horizontal="left" vertical="center"/>
    </xf>
    <xf numFmtId="164" fontId="109" fillId="0" borderId="1" xfId="23" applyFont="1" applyBorder="1" applyAlignment="1">
      <alignment horizontal="left" vertical="center"/>
    </xf>
    <xf numFmtId="14" fontId="109" fillId="0" borderId="1" xfId="0" applyNumberFormat="1" applyFont="1" applyBorder="1" applyAlignment="1">
      <alignment horizontal="left" vertical="center"/>
    </xf>
    <xf numFmtId="172" fontId="109" fillId="0" borderId="1" xfId="15" applyNumberFormat="1" applyFont="1" applyFill="1" applyBorder="1" applyAlignment="1">
      <alignment horizontal="left" vertical="center"/>
    </xf>
    <xf numFmtId="0" fontId="109" fillId="0" borderId="11" xfId="0" applyFont="1" applyBorder="1" applyAlignment="1">
      <alignment horizontal="left" vertical="center"/>
    </xf>
    <xf numFmtId="164" fontId="109" fillId="24" borderId="1" xfId="23" applyFont="1" applyFill="1" applyBorder="1" applyAlignment="1">
      <alignment horizontal="left" vertical="center"/>
    </xf>
    <xf numFmtId="14" fontId="109" fillId="24" borderId="1" xfId="0" applyNumberFormat="1" applyFont="1" applyFill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0" fontId="109" fillId="24" borderId="1" xfId="0" applyFont="1" applyFill="1" applyBorder="1" applyAlignment="1">
      <alignment horizontal="left" vertical="center"/>
    </xf>
    <xf numFmtId="9" fontId="2" fillId="0" borderId="1" xfId="1" applyFont="1" applyBorder="1"/>
    <xf numFmtId="0" fontId="2" fillId="0" borderId="0" xfId="0" applyFont="1"/>
    <xf numFmtId="172" fontId="2" fillId="0" borderId="1" xfId="15" applyNumberFormat="1" applyFont="1" applyBorder="1"/>
    <xf numFmtId="189" fontId="2" fillId="0" borderId="1" xfId="23" applyNumberFormat="1" applyFont="1" applyBorder="1"/>
    <xf numFmtId="43" fontId="2" fillId="0" borderId="1" xfId="15" applyFont="1" applyBorder="1"/>
    <xf numFmtId="43" fontId="2" fillId="0" borderId="0" xfId="15" applyFont="1"/>
    <xf numFmtId="0" fontId="2" fillId="0" borderId="1" xfId="1" applyNumberFormat="1" applyFont="1" applyBorder="1"/>
    <xf numFmtId="0" fontId="111" fillId="0" borderId="0" xfId="0" applyFont="1"/>
    <xf numFmtId="0" fontId="112" fillId="0" borderId="0" xfId="7" applyFont="1" applyAlignment="1" applyProtection="1"/>
    <xf numFmtId="0" fontId="113" fillId="0" borderId="25" xfId="0" applyFont="1" applyBorder="1" applyAlignment="1">
      <alignment horizontal="left" vertical="center"/>
    </xf>
    <xf numFmtId="0" fontId="113" fillId="0" borderId="1" xfId="0" applyFont="1" applyBorder="1" applyAlignment="1">
      <alignment horizontal="left" vertical="center"/>
    </xf>
    <xf numFmtId="9" fontId="113" fillId="0" borderId="1" xfId="0" applyNumberFormat="1" applyFont="1" applyBorder="1" applyAlignment="1">
      <alignment horizontal="left" vertical="center"/>
    </xf>
    <xf numFmtId="164" fontId="113" fillId="0" borderId="1" xfId="23" applyFont="1" applyBorder="1" applyAlignment="1">
      <alignment horizontal="left" vertical="center"/>
    </xf>
    <xf numFmtId="14" fontId="113" fillId="0" borderId="1" xfId="0" applyNumberFormat="1" applyFont="1" applyBorder="1" applyAlignment="1">
      <alignment horizontal="left" vertical="center"/>
    </xf>
    <xf numFmtId="172" fontId="113" fillId="0" borderId="1" xfId="15" applyNumberFormat="1" applyFont="1" applyFill="1" applyBorder="1" applyAlignment="1">
      <alignment horizontal="left" vertical="center"/>
    </xf>
    <xf numFmtId="0" fontId="113" fillId="0" borderId="11" xfId="0" applyFont="1" applyBorder="1" applyAlignment="1">
      <alignment horizontal="left" vertical="center"/>
    </xf>
    <xf numFmtId="0" fontId="101" fillId="18" borderId="4" xfId="0" applyFont="1" applyFill="1" applyBorder="1"/>
    <xf numFmtId="0" fontId="8" fillId="18" borderId="4" xfId="0" applyFont="1" applyFill="1" applyBorder="1"/>
    <xf numFmtId="0" fontId="8" fillId="18" borderId="71" xfId="0" applyFont="1" applyFill="1" applyBorder="1"/>
    <xf numFmtId="0" fontId="13" fillId="5" borderId="4" xfId="0" applyFont="1" applyFill="1" applyBorder="1"/>
    <xf numFmtId="164" fontId="0" fillId="5" borderId="4" xfId="23" applyFont="1" applyFill="1" applyBorder="1" applyAlignment="1">
      <alignment vertical="center" wrapText="1"/>
    </xf>
    <xf numFmtId="0" fontId="114" fillId="4" borderId="4" xfId="0" applyFont="1" applyFill="1" applyBorder="1" applyAlignment="1">
      <alignment horizontal="left" vertical="center" wrapText="1" readingOrder="1"/>
    </xf>
    <xf numFmtId="0" fontId="109" fillId="0" borderId="19" xfId="0" applyFont="1" applyBorder="1" applyAlignment="1">
      <alignment horizontal="left" vertical="center"/>
    </xf>
    <xf numFmtId="0" fontId="109" fillId="0" borderId="9" xfId="0" applyFont="1" applyBorder="1" applyAlignment="1">
      <alignment horizontal="left" vertical="center"/>
    </xf>
    <xf numFmtId="9" fontId="109" fillId="0" borderId="9" xfId="0" applyNumberFormat="1" applyFont="1" applyBorder="1" applyAlignment="1">
      <alignment horizontal="left" vertical="center"/>
    </xf>
    <xf numFmtId="164" fontId="109" fillId="0" borderId="9" xfId="23" applyFont="1" applyBorder="1" applyAlignment="1">
      <alignment horizontal="left" vertical="center"/>
    </xf>
    <xf numFmtId="14" fontId="109" fillId="0" borderId="9" xfId="0" applyNumberFormat="1" applyFont="1" applyBorder="1" applyAlignment="1">
      <alignment horizontal="left" vertical="center"/>
    </xf>
    <xf numFmtId="0" fontId="109" fillId="0" borderId="10" xfId="0" applyFont="1" applyBorder="1" applyAlignment="1">
      <alignment horizontal="left" vertical="center"/>
    </xf>
    <xf numFmtId="14" fontId="115" fillId="36" borderId="1" xfId="0" applyNumberFormat="1" applyFont="1" applyFill="1" applyBorder="1" applyAlignment="1">
      <alignment vertical="center" wrapText="1" readingOrder="1"/>
    </xf>
    <xf numFmtId="172" fontId="2" fillId="0" borderId="1" xfId="15" applyNumberFormat="1" applyFont="1" applyFill="1" applyBorder="1"/>
    <xf numFmtId="0" fontId="2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vertical="center" wrapText="1" readingOrder="1"/>
    </xf>
    <xf numFmtId="191" fontId="0" fillId="0" borderId="0" xfId="0" applyNumberFormat="1"/>
    <xf numFmtId="183" fontId="0" fillId="0" borderId="0" xfId="23" applyNumberFormat="1" applyFont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4" xfId="0" applyFont="1" applyFill="1" applyBorder="1"/>
    <xf numFmtId="0" fontId="116" fillId="0" borderId="82" xfId="0" applyFont="1" applyBorder="1" applyAlignment="1">
      <alignment horizontal="center" vertical="center"/>
    </xf>
    <xf numFmtId="0" fontId="116" fillId="0" borderId="82" xfId="0" applyFont="1" applyBorder="1" applyAlignment="1">
      <alignment vertical="center"/>
    </xf>
    <xf numFmtId="14" fontId="116" fillId="0" borderId="82" xfId="0" applyNumberFormat="1" applyFont="1" applyBorder="1" applyAlignment="1">
      <alignment vertical="center"/>
    </xf>
    <xf numFmtId="14" fontId="116" fillId="0" borderId="82" xfId="0" applyNumberFormat="1" applyFont="1" applyBorder="1" applyAlignment="1">
      <alignment horizontal="center" vertical="center"/>
    </xf>
    <xf numFmtId="0" fontId="116" fillId="0" borderId="83" xfId="0" applyFont="1" applyBorder="1" applyAlignment="1">
      <alignment horizontal="center" vertical="center"/>
    </xf>
    <xf numFmtId="0" fontId="116" fillId="0" borderId="83" xfId="0" applyFont="1" applyBorder="1" applyAlignment="1">
      <alignment vertical="center"/>
    </xf>
    <xf numFmtId="0" fontId="116" fillId="0" borderId="83" xfId="0" applyFont="1" applyBorder="1" applyAlignment="1">
      <alignment horizontal="right" vertical="center"/>
    </xf>
    <xf numFmtId="14" fontId="116" fillId="0" borderId="83" xfId="0" applyNumberFormat="1" applyFont="1" applyBorder="1" applyAlignment="1">
      <alignment vertical="center"/>
    </xf>
    <xf numFmtId="4" fontId="45" fillId="0" borderId="83" xfId="0" applyNumberFormat="1" applyFont="1" applyBorder="1" applyAlignment="1">
      <alignment horizontal="right" vertical="center" wrapText="1"/>
    </xf>
    <xf numFmtId="0" fontId="116" fillId="0" borderId="84" xfId="0" applyFont="1" applyBorder="1" applyAlignment="1">
      <alignment vertical="center"/>
    </xf>
    <xf numFmtId="0" fontId="116" fillId="0" borderId="85" xfId="0" applyFont="1" applyBorder="1" applyAlignment="1">
      <alignment vertical="center"/>
    </xf>
    <xf numFmtId="0" fontId="116" fillId="0" borderId="86" xfId="0" applyFont="1" applyBorder="1" applyAlignment="1">
      <alignment vertical="center"/>
    </xf>
    <xf numFmtId="0" fontId="0" fillId="0" borderId="79" xfId="0" applyBorder="1"/>
    <xf numFmtId="0" fontId="0" fillId="0" borderId="81" xfId="0" applyBorder="1"/>
    <xf numFmtId="0" fontId="116" fillId="37" borderId="79" xfId="0" applyFont="1" applyFill="1" applyBorder="1" applyAlignment="1">
      <alignment horizontal="center" vertical="center"/>
    </xf>
    <xf numFmtId="0" fontId="116" fillId="37" borderId="87" xfId="0" applyFont="1" applyFill="1" applyBorder="1" applyAlignment="1">
      <alignment horizontal="center" vertical="center"/>
    </xf>
    <xf numFmtId="0" fontId="0" fillId="0" borderId="87" xfId="0" applyBorder="1"/>
    <xf numFmtId="164" fontId="0" fillId="37" borderId="88" xfId="0" applyNumberFormat="1" applyFill="1" applyBorder="1" applyAlignment="1">
      <alignment horizontal="center"/>
    </xf>
    <xf numFmtId="190" fontId="116" fillId="37" borderId="80" xfId="23" applyNumberFormat="1" applyFont="1" applyFill="1" applyBorder="1" applyAlignment="1">
      <alignment horizontal="center" vertical="center"/>
    </xf>
    <xf numFmtId="164" fontId="116" fillId="0" borderId="83" xfId="23" applyFont="1" applyBorder="1" applyAlignment="1">
      <alignment horizontal="center" vertical="center"/>
    </xf>
    <xf numFmtId="181" fontId="116" fillId="0" borderId="83" xfId="0" applyNumberFormat="1" applyFont="1" applyBorder="1" applyAlignment="1">
      <alignment horizontal="right" vertical="center"/>
    </xf>
    <xf numFmtId="17" fontId="0" fillId="0" borderId="1" xfId="0" applyNumberFormat="1" applyBorder="1" applyAlignment="1">
      <alignment horizontal="right" vertical="center"/>
    </xf>
    <xf numFmtId="9" fontId="0" fillId="0" borderId="1" xfId="1" applyFont="1" applyFill="1" applyBorder="1" applyAlignment="1">
      <alignment horizontal="left" vertical="center"/>
    </xf>
    <xf numFmtId="164" fontId="47" fillId="0" borderId="42" xfId="23" applyFont="1" applyFill="1" applyBorder="1" applyAlignment="1">
      <alignment horizontal="right" vertical="center" wrapText="1"/>
    </xf>
    <xf numFmtId="164" fontId="0" fillId="0" borderId="1" xfId="23" applyFont="1" applyFill="1" applyBorder="1" applyAlignment="1">
      <alignment horizontal="left" vertical="center"/>
    </xf>
    <xf numFmtId="164" fontId="2" fillId="0" borderId="1" xfId="23" applyFont="1" applyFill="1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17" fontId="2" fillId="0" borderId="1" xfId="0" applyNumberFormat="1" applyFont="1" applyBorder="1" applyAlignment="1">
      <alignment horizontal="right" vertical="center"/>
    </xf>
    <xf numFmtId="0" fontId="2" fillId="0" borderId="2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9" fontId="2" fillId="0" borderId="1" xfId="1" applyFont="1" applyFill="1" applyBorder="1" applyAlignment="1">
      <alignment horizontal="left" vertical="center"/>
    </xf>
    <xf numFmtId="190" fontId="2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164" fontId="98" fillId="0" borderId="42" xfId="23" applyFont="1" applyFill="1" applyBorder="1" applyAlignment="1">
      <alignment horizontal="right" vertical="center" wrapText="1"/>
    </xf>
    <xf numFmtId="0" fontId="114" fillId="0" borderId="1" xfId="0" applyFont="1" applyBorder="1" applyAlignment="1">
      <alignment horizontal="right" vertical="center" wrapText="1" readingOrder="1"/>
    </xf>
    <xf numFmtId="192" fontId="2" fillId="0" borderId="1" xfId="23" applyNumberFormat="1" applyFont="1" applyFill="1" applyBorder="1" applyAlignment="1">
      <alignment horizontal="left" vertical="center"/>
    </xf>
    <xf numFmtId="192" fontId="2" fillId="0" borderId="1" xfId="0" applyNumberFormat="1" applyFont="1" applyBorder="1" applyAlignment="1">
      <alignment horizontal="left" vertical="center"/>
    </xf>
    <xf numFmtId="192" fontId="0" fillId="0" borderId="1" xfId="0" applyNumberFormat="1" applyBorder="1" applyAlignment="1">
      <alignment horizontal="left" vertical="center"/>
    </xf>
    <xf numFmtId="183" fontId="116" fillId="9" borderId="83" xfId="23" applyNumberFormat="1" applyFont="1" applyFill="1" applyBorder="1" applyAlignment="1">
      <alignment horizontal="center" vertical="center"/>
    </xf>
    <xf numFmtId="183" fontId="116" fillId="9" borderId="83" xfId="23" applyNumberFormat="1" applyFont="1" applyFill="1" applyBorder="1" applyAlignment="1">
      <alignment vertical="center"/>
    </xf>
    <xf numFmtId="1" fontId="0" fillId="9" borderId="1" xfId="0" applyNumberFormat="1" applyFill="1" applyBorder="1"/>
    <xf numFmtId="3" fontId="0" fillId="9" borderId="1" xfId="0" applyNumberFormat="1" applyFill="1" applyBorder="1"/>
    <xf numFmtId="0" fontId="0" fillId="9" borderId="1" xfId="0" applyFill="1" applyBorder="1"/>
    <xf numFmtId="14" fontId="80" fillId="0" borderId="9" xfId="0" applyNumberFormat="1" applyFont="1" applyBorder="1" applyAlignment="1">
      <alignment horizontal="center" vertical="center" wrapText="1"/>
    </xf>
    <xf numFmtId="9" fontId="80" fillId="0" borderId="89" xfId="1" applyFont="1" applyFill="1" applyBorder="1" applyAlignment="1">
      <alignment horizontal="center" vertical="center" wrapText="1"/>
    </xf>
    <xf numFmtId="0" fontId="65" fillId="12" borderId="10" xfId="0" applyFont="1" applyFill="1" applyBorder="1" applyAlignment="1">
      <alignment horizontal="right" vertical="center"/>
    </xf>
    <xf numFmtId="172" fontId="63" fillId="0" borderId="19" xfId="15" applyNumberFormat="1" applyFont="1" applyBorder="1"/>
    <xf numFmtId="0" fontId="31" fillId="0" borderId="16" xfId="0" applyFont="1" applyBorder="1" applyAlignment="1">
      <alignment vertical="top" wrapText="1"/>
    </xf>
    <xf numFmtId="2" fontId="45" fillId="15" borderId="1" xfId="0" applyNumberFormat="1" applyFont="1" applyFill="1" applyBorder="1" applyAlignment="1">
      <alignment horizontal="center" vertical="center" wrapText="1"/>
    </xf>
    <xf numFmtId="17" fontId="0" fillId="15" borderId="1" xfId="0" applyNumberFormat="1" applyFill="1" applyBorder="1" applyAlignment="1">
      <alignment horizontal="right" vertical="center"/>
    </xf>
    <xf numFmtId="0" fontId="0" fillId="15" borderId="0" xfId="0" applyFill="1"/>
    <xf numFmtId="17" fontId="0" fillId="38" borderId="1" xfId="0" applyNumberFormat="1" applyFill="1" applyBorder="1" applyAlignment="1">
      <alignment horizontal="right" vertical="center"/>
    </xf>
    <xf numFmtId="0" fontId="0" fillId="38" borderId="1" xfId="0" applyFill="1" applyBorder="1" applyAlignment="1">
      <alignment horizontal="left" vertical="center"/>
    </xf>
    <xf numFmtId="9" fontId="0" fillId="38" borderId="1" xfId="1" applyFont="1" applyFill="1" applyBorder="1" applyAlignment="1">
      <alignment horizontal="left" vertical="center"/>
    </xf>
    <xf numFmtId="190" fontId="0" fillId="38" borderId="1" xfId="0" applyNumberFormat="1" applyFill="1" applyBorder="1" applyAlignment="1">
      <alignment horizontal="left" vertical="center"/>
    </xf>
    <xf numFmtId="14" fontId="0" fillId="38" borderId="1" xfId="0" applyNumberFormat="1" applyFill="1" applyBorder="1" applyAlignment="1">
      <alignment horizontal="left" vertical="center"/>
    </xf>
    <xf numFmtId="164" fontId="47" fillId="38" borderId="42" xfId="23" applyFont="1" applyFill="1" applyBorder="1" applyAlignment="1">
      <alignment horizontal="right" vertical="center" wrapText="1"/>
    </xf>
    <xf numFmtId="164" fontId="0" fillId="38" borderId="1" xfId="23" applyFont="1" applyFill="1" applyBorder="1" applyAlignment="1">
      <alignment horizontal="left" vertical="center"/>
    </xf>
    <xf numFmtId="164" fontId="0" fillId="0" borderId="0" xfId="0" applyNumberFormat="1"/>
    <xf numFmtId="191" fontId="0" fillId="38" borderId="1" xfId="0" applyNumberFormat="1" applyFill="1" applyBorder="1" applyAlignment="1">
      <alignment horizontal="left" vertical="center"/>
    </xf>
    <xf numFmtId="164" fontId="1" fillId="38" borderId="1" xfId="23" applyFont="1" applyFill="1" applyBorder="1" applyAlignment="1">
      <alignment horizontal="left" vertical="center"/>
    </xf>
    <xf numFmtId="191" fontId="0" fillId="0" borderId="1" xfId="0" applyNumberFormat="1" applyBorder="1" applyAlignment="1">
      <alignment horizontal="left" vertical="center"/>
    </xf>
    <xf numFmtId="0" fontId="109" fillId="24" borderId="9" xfId="0" applyFont="1" applyFill="1" applyBorder="1" applyAlignment="1">
      <alignment horizontal="left" vertical="center"/>
    </xf>
    <xf numFmtId="14" fontId="109" fillId="24" borderId="9" xfId="0" applyNumberFormat="1" applyFont="1" applyFill="1" applyBorder="1" applyAlignment="1">
      <alignment horizontal="left" vertical="center"/>
    </xf>
    <xf numFmtId="164" fontId="109" fillId="24" borderId="9" xfId="23" applyFont="1" applyFill="1" applyBorder="1" applyAlignment="1">
      <alignment horizontal="left" vertical="center"/>
    </xf>
    <xf numFmtId="171" fontId="71" fillId="0" borderId="1" xfId="0" applyNumberFormat="1" applyFont="1" applyBorder="1" applyAlignment="1">
      <alignment vertical="center"/>
    </xf>
    <xf numFmtId="0" fontId="0" fillId="39" borderId="1" xfId="0" applyFill="1" applyBorder="1" applyAlignment="1">
      <alignment horizontal="left" vertical="center"/>
    </xf>
    <xf numFmtId="9" fontId="0" fillId="39" borderId="1" xfId="1" applyFont="1" applyFill="1" applyBorder="1" applyAlignment="1">
      <alignment horizontal="left" vertical="center"/>
    </xf>
    <xf numFmtId="190" fontId="0" fillId="39" borderId="1" xfId="0" applyNumberFormat="1" applyFill="1" applyBorder="1" applyAlignment="1">
      <alignment horizontal="left" vertical="center"/>
    </xf>
    <xf numFmtId="14" fontId="0" fillId="39" borderId="1" xfId="0" applyNumberFormat="1" applyFill="1" applyBorder="1" applyAlignment="1">
      <alignment horizontal="left" vertical="center"/>
    </xf>
    <xf numFmtId="164" fontId="47" fillId="39" borderId="42" xfId="23" applyFont="1" applyFill="1" applyBorder="1" applyAlignment="1">
      <alignment horizontal="right" vertical="center" wrapText="1"/>
    </xf>
    <xf numFmtId="164" fontId="0" fillId="39" borderId="1" xfId="23" applyFont="1" applyFill="1" applyBorder="1" applyAlignment="1">
      <alignment horizontal="left" vertical="center"/>
    </xf>
    <xf numFmtId="191" fontId="0" fillId="39" borderId="1" xfId="0" applyNumberFormat="1" applyFill="1" applyBorder="1" applyAlignment="1">
      <alignment horizontal="left" vertical="center"/>
    </xf>
    <xf numFmtId="170" fontId="0" fillId="39" borderId="1" xfId="1" applyNumberFormat="1" applyFont="1" applyFill="1" applyBorder="1" applyAlignment="1">
      <alignment horizontal="left" vertical="center"/>
    </xf>
    <xf numFmtId="170" fontId="0" fillId="38" borderId="1" xfId="1" applyNumberFormat="1" applyFont="1" applyFill="1" applyBorder="1" applyAlignment="1">
      <alignment horizontal="left" vertical="center"/>
    </xf>
    <xf numFmtId="170" fontId="0" fillId="0" borderId="1" xfId="1" applyNumberFormat="1" applyFont="1" applyBorder="1" applyAlignment="1">
      <alignment horizontal="left" vertical="center"/>
    </xf>
    <xf numFmtId="1" fontId="0" fillId="0" borderId="0" xfId="0" applyNumberFormat="1" applyAlignment="1">
      <alignment vertical="center"/>
    </xf>
    <xf numFmtId="14" fontId="80" fillId="0" borderId="14" xfId="0" applyNumberFormat="1" applyFont="1" applyBorder="1" applyAlignment="1">
      <alignment horizontal="center" vertical="center" wrapText="1"/>
    </xf>
    <xf numFmtId="14" fontId="80" fillId="0" borderId="44" xfId="0" applyNumberFormat="1" applyFont="1" applyBorder="1" applyAlignment="1">
      <alignment horizontal="center" vertical="center" wrapText="1"/>
    </xf>
    <xf numFmtId="0" fontId="45" fillId="0" borderId="9" xfId="0" applyFont="1" applyBorder="1" applyAlignment="1">
      <alignment vertical="center" wrapText="1"/>
    </xf>
    <xf numFmtId="0" fontId="80" fillId="0" borderId="9" xfId="0" applyFont="1" applyBorder="1" applyAlignment="1">
      <alignment horizontal="center" vertical="center" wrapText="1"/>
    </xf>
    <xf numFmtId="9" fontId="80" fillId="0" borderId="90" xfId="1" applyFont="1" applyFill="1" applyBorder="1" applyAlignment="1">
      <alignment horizontal="center" vertical="center" wrapText="1"/>
    </xf>
    <xf numFmtId="9" fontId="80" fillId="0" borderId="88" xfId="1" applyFont="1" applyFill="1" applyBorder="1" applyAlignment="1">
      <alignment horizontal="center" vertical="center" wrapText="1"/>
    </xf>
    <xf numFmtId="193" fontId="0" fillId="0" borderId="0" xfId="0" applyNumberFormat="1"/>
    <xf numFmtId="184" fontId="0" fillId="0" borderId="0" xfId="0" applyNumberFormat="1" applyAlignment="1">
      <alignment horizontal="right" vertical="center"/>
    </xf>
    <xf numFmtId="181" fontId="0" fillId="0" borderId="81" xfId="0" applyNumberFormat="1" applyBorder="1"/>
    <xf numFmtId="183" fontId="116" fillId="0" borderId="83" xfId="23" applyNumberFormat="1" applyFont="1" applyBorder="1" applyAlignment="1">
      <alignment horizontal="right" vertical="center"/>
    </xf>
    <xf numFmtId="164" fontId="45" fillId="0" borderId="1" xfId="23" applyFont="1" applyBorder="1" applyAlignment="1">
      <alignment horizontal="center" vertical="center" wrapText="1"/>
    </xf>
    <xf numFmtId="181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2" fillId="0" borderId="1" xfId="0" applyNumberFormat="1" applyFont="1" applyBorder="1"/>
    <xf numFmtId="181" fontId="0" fillId="9" borderId="0" xfId="0" applyNumberFormat="1" applyFill="1"/>
    <xf numFmtId="181" fontId="2" fillId="9" borderId="0" xfId="0" applyNumberFormat="1" applyFont="1" applyFill="1" applyAlignment="1">
      <alignment vertical="center"/>
    </xf>
    <xf numFmtId="9" fontId="0" fillId="9" borderId="1" xfId="1" applyFont="1" applyFill="1" applyBorder="1"/>
    <xf numFmtId="170" fontId="0" fillId="9" borderId="4" xfId="1" applyNumberFormat="1" applyFont="1" applyFill="1" applyBorder="1" applyAlignment="1">
      <alignment vertical="center"/>
    </xf>
    <xf numFmtId="43" fontId="2" fillId="22" borderId="1" xfId="15" applyFont="1" applyFill="1" applyBorder="1"/>
    <xf numFmtId="14" fontId="0" fillId="22" borderId="1" xfId="1" applyNumberFormat="1" applyFont="1" applyFill="1" applyBorder="1"/>
    <xf numFmtId="14" fontId="0" fillId="22" borderId="1" xfId="0" applyNumberFormat="1" applyFill="1" applyBorder="1"/>
    <xf numFmtId="10" fontId="0" fillId="22" borderId="0" xfId="0" applyNumberFormat="1" applyFill="1"/>
    <xf numFmtId="0" fontId="0" fillId="22" borderId="0" xfId="0" applyFill="1"/>
    <xf numFmtId="170" fontId="0" fillId="22" borderId="1" xfId="1" applyNumberFormat="1" applyFont="1" applyFill="1" applyBorder="1"/>
    <xf numFmtId="170" fontId="0" fillId="22" borderId="4" xfId="1" applyNumberFormat="1" applyFont="1" applyFill="1" applyBorder="1" applyAlignment="1">
      <alignment vertical="center"/>
    </xf>
    <xf numFmtId="9" fontId="21" fillId="22" borderId="1" xfId="0" applyNumberFormat="1" applyFont="1" applyFill="1" applyBorder="1"/>
    <xf numFmtId="164" fontId="0" fillId="22" borderId="1" xfId="23" applyFont="1" applyFill="1" applyBorder="1"/>
    <xf numFmtId="172" fontId="2" fillId="22" borderId="1" xfId="15" applyNumberFormat="1" applyFont="1" applyFill="1" applyBorder="1"/>
    <xf numFmtId="164" fontId="2" fillId="22" borderId="1" xfId="23" applyFont="1" applyFill="1" applyBorder="1"/>
    <xf numFmtId="0" fontId="2" fillId="22" borderId="0" xfId="0" applyFont="1" applyFill="1"/>
    <xf numFmtId="189" fontId="0" fillId="22" borderId="1" xfId="23" applyNumberFormat="1" applyFont="1" applyFill="1" applyBorder="1"/>
    <xf numFmtId="189" fontId="0" fillId="22" borderId="1" xfId="0" applyNumberFormat="1" applyFill="1" applyBorder="1"/>
    <xf numFmtId="172" fontId="0" fillId="22" borderId="0" xfId="15" applyNumberFormat="1" applyFont="1" applyFill="1" applyBorder="1"/>
    <xf numFmtId="189" fontId="2" fillId="22" borderId="1" xfId="23" applyNumberFormat="1" applyFont="1" applyFill="1" applyBorder="1"/>
    <xf numFmtId="189" fontId="0" fillId="22" borderId="1" xfId="1" applyNumberFormat="1" applyFont="1" applyFill="1" applyBorder="1"/>
    <xf numFmtId="9" fontId="2" fillId="22" borderId="1" xfId="1" applyFont="1" applyFill="1" applyBorder="1"/>
    <xf numFmtId="9" fontId="0" fillId="22" borderId="1" xfId="1" applyFont="1" applyFill="1" applyBorder="1"/>
    <xf numFmtId="10" fontId="0" fillId="22" borderId="1" xfId="0" applyNumberFormat="1" applyFill="1" applyBorder="1"/>
    <xf numFmtId="0" fontId="2" fillId="22" borderId="1" xfId="1" applyNumberFormat="1" applyFont="1" applyFill="1" applyBorder="1"/>
    <xf numFmtId="0" fontId="0" fillId="22" borderId="1" xfId="1" applyNumberFormat="1" applyFont="1" applyFill="1" applyBorder="1"/>
    <xf numFmtId="172" fontId="0" fillId="22" borderId="1" xfId="15" applyNumberFormat="1" applyFont="1" applyFill="1" applyBorder="1"/>
    <xf numFmtId="43" fontId="0" fillId="22" borderId="1" xfId="15" applyFont="1" applyFill="1" applyBorder="1"/>
    <xf numFmtId="164" fontId="0" fillId="0" borderId="1" xfId="23" applyFont="1" applyFill="1" applyBorder="1"/>
    <xf numFmtId="194" fontId="0" fillId="0" borderId="0" xfId="0" applyNumberFormat="1"/>
    <xf numFmtId="0" fontId="0" fillId="0" borderId="49" xfId="0" applyBorder="1" applyAlignment="1">
      <alignment horizontal="left" vertical="center"/>
    </xf>
    <xf numFmtId="0" fontId="70" fillId="23" borderId="49" xfId="0" applyFont="1" applyFill="1" applyBorder="1" applyAlignment="1">
      <alignment horizontal="center"/>
    </xf>
    <xf numFmtId="0" fontId="0" fillId="0" borderId="49" xfId="0" applyBorder="1" applyAlignment="1">
      <alignment horizontal="left" vertical="center" wrapText="1"/>
    </xf>
    <xf numFmtId="0" fontId="0" fillId="24" borderId="49" xfId="0" applyFill="1" applyBorder="1" applyAlignment="1">
      <alignment horizontal="left" vertical="center"/>
    </xf>
    <xf numFmtId="0" fontId="71" fillId="0" borderId="43" xfId="0" applyFont="1" applyBorder="1" applyAlignment="1">
      <alignment horizontal="center" wrapText="1"/>
    </xf>
    <xf numFmtId="0" fontId="71" fillId="0" borderId="46" xfId="0" applyFont="1" applyBorder="1" applyAlignment="1">
      <alignment horizontal="center" wrapText="1"/>
    </xf>
    <xf numFmtId="0" fontId="72" fillId="0" borderId="44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0" fillId="23" borderId="48" xfId="0" applyFont="1" applyFill="1" applyBorder="1" applyAlignment="1">
      <alignment horizontal="center"/>
    </xf>
    <xf numFmtId="0" fontId="8" fillId="24" borderId="48" xfId="0" applyFont="1" applyFill="1" applyBorder="1" applyAlignment="1">
      <alignment horizontal="left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8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116" fillId="37" borderId="64" xfId="0" applyFont="1" applyFill="1" applyBorder="1" applyAlignment="1">
      <alignment horizontal="center" vertical="center"/>
    </xf>
    <xf numFmtId="0" fontId="116" fillId="37" borderId="6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21" borderId="35" xfId="0" applyFont="1" applyFill="1" applyBorder="1" applyAlignment="1">
      <alignment horizontal="center"/>
    </xf>
    <xf numFmtId="0" fontId="6" fillId="21" borderId="36" xfId="0" applyFont="1" applyFill="1" applyBorder="1" applyAlignment="1">
      <alignment horizontal="center"/>
    </xf>
    <xf numFmtId="0" fontId="6" fillId="21" borderId="37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32" borderId="66" xfId="0" applyFont="1" applyFill="1" applyBorder="1" applyAlignment="1">
      <alignment horizontal="left" vertical="center" wrapText="1"/>
    </xf>
    <xf numFmtId="0" fontId="2" fillId="32" borderId="67" xfId="0" applyFont="1" applyFill="1" applyBorder="1" applyAlignment="1">
      <alignment horizontal="left" vertical="center" wrapText="1"/>
    </xf>
    <xf numFmtId="0" fontId="2" fillId="32" borderId="5" xfId="0" applyFont="1" applyFill="1" applyBorder="1" applyAlignment="1">
      <alignment horizontal="left" vertical="center" wrapText="1"/>
    </xf>
    <xf numFmtId="0" fontId="2" fillId="32" borderId="6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4" fillId="2" borderId="53" xfId="0" applyFont="1" applyFill="1" applyBorder="1" applyAlignment="1">
      <alignment horizontal="left" vertical="center"/>
    </xf>
    <xf numFmtId="0" fontId="48" fillId="0" borderId="76" xfId="0" applyFont="1" applyBorder="1" applyAlignment="1">
      <alignment horizontal="center" vertical="center" wrapText="1"/>
    </xf>
    <xf numFmtId="0" fontId="48" fillId="0" borderId="77" xfId="0" applyFont="1" applyBorder="1" applyAlignment="1">
      <alignment horizontal="center" vertical="center" wrapText="1"/>
    </xf>
    <xf numFmtId="0" fontId="48" fillId="0" borderId="78" xfId="0" applyFont="1" applyBorder="1" applyAlignment="1">
      <alignment horizontal="center" vertical="center" wrapText="1"/>
    </xf>
    <xf numFmtId="0" fontId="48" fillId="0" borderId="73" xfId="0" applyFont="1" applyBorder="1" applyAlignment="1">
      <alignment horizontal="right" vertical="center" wrapText="1"/>
    </xf>
    <xf numFmtId="0" fontId="48" fillId="0" borderId="12" xfId="0" applyFont="1" applyBorder="1" applyAlignment="1">
      <alignment horizontal="right" vertical="center" wrapText="1"/>
    </xf>
    <xf numFmtId="0" fontId="48" fillId="0" borderId="46" xfId="0" applyFont="1" applyBorder="1" applyAlignment="1">
      <alignment horizontal="right" vertical="center" wrapText="1"/>
    </xf>
    <xf numFmtId="0" fontId="48" fillId="0" borderId="1" xfId="0" applyFont="1" applyBorder="1" applyAlignment="1">
      <alignment horizontal="right" vertical="center" wrapText="1"/>
    </xf>
    <xf numFmtId="0" fontId="106" fillId="9" borderId="64" xfId="0" applyFont="1" applyFill="1" applyBorder="1" applyAlignment="1">
      <alignment horizontal="left" vertical="center" wrapText="1"/>
    </xf>
    <xf numFmtId="0" fontId="106" fillId="9" borderId="65" xfId="0" applyFont="1" applyFill="1" applyBorder="1" applyAlignment="1">
      <alignment horizontal="left" vertical="center" wrapText="1"/>
    </xf>
    <xf numFmtId="0" fontId="106" fillId="9" borderId="56" xfId="0" applyFont="1" applyFill="1" applyBorder="1" applyAlignment="1">
      <alignment horizontal="left" vertical="center" wrapText="1"/>
    </xf>
    <xf numFmtId="0" fontId="48" fillId="0" borderId="75" xfId="0" applyFont="1" applyBorder="1" applyAlignment="1">
      <alignment horizontal="center" vertical="center" wrapText="1"/>
    </xf>
    <xf numFmtId="0" fontId="104" fillId="0" borderId="76" xfId="0" applyFont="1" applyBorder="1" applyAlignment="1">
      <alignment horizontal="center" vertical="center" wrapText="1"/>
    </xf>
    <xf numFmtId="0" fontId="88" fillId="3" borderId="1" xfId="29" applyNumberFormat="1" applyFont="1" applyFill="1" applyBorder="1" applyAlignment="1" applyProtection="1">
      <alignment horizontal="center" vertical="center" wrapText="1"/>
      <protection locked="0"/>
    </xf>
    <xf numFmtId="0" fontId="12" fillId="0" borderId="0" xfId="29" applyNumberFormat="1" applyAlignment="1">
      <alignment horizontal="left" vertical="center"/>
    </xf>
    <xf numFmtId="0" fontId="93" fillId="3" borderId="1" xfId="29" applyNumberFormat="1" applyFont="1" applyFill="1" applyBorder="1" applyAlignment="1">
      <alignment horizontal="center" vertical="center" wrapText="1"/>
    </xf>
    <xf numFmtId="0" fontId="96" fillId="0" borderId="46" xfId="0" applyFont="1" applyBorder="1" applyAlignment="1">
      <alignment horizontal="left" vertical="center" wrapText="1"/>
    </xf>
    <xf numFmtId="0" fontId="96" fillId="0" borderId="1" xfId="0" applyFont="1" applyBorder="1" applyAlignment="1">
      <alignment horizontal="left" vertical="center" wrapText="1"/>
    </xf>
    <xf numFmtId="0" fontId="96" fillId="0" borderId="63" xfId="0" applyFont="1" applyBorder="1" applyAlignment="1">
      <alignment horizontal="left" vertical="center" wrapText="1"/>
    </xf>
    <xf numFmtId="0" fontId="96" fillId="0" borderId="60" xfId="0" applyFont="1" applyBorder="1" applyAlignment="1">
      <alignment horizontal="left" vertical="center" wrapText="1"/>
    </xf>
    <xf numFmtId="0" fontId="50" fillId="0" borderId="58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96" fillId="0" borderId="43" xfId="0" applyFont="1" applyBorder="1" applyAlignment="1">
      <alignment horizontal="left" vertical="center" wrapText="1"/>
    </xf>
    <xf numFmtId="0" fontId="96" fillId="0" borderId="44" xfId="0" applyFont="1" applyBorder="1" applyAlignment="1">
      <alignment horizontal="left" vertical="center" wrapText="1"/>
    </xf>
    <xf numFmtId="0" fontId="31" fillId="0" borderId="10" xfId="0" applyFont="1" applyBorder="1" applyAlignment="1">
      <alignment horizontal="left" vertical="top" wrapText="1"/>
    </xf>
    <xf numFmtId="0" fontId="31" fillId="0" borderId="51" xfId="0" applyFont="1" applyBorder="1" applyAlignment="1">
      <alignment horizontal="left" vertical="top" wrapText="1"/>
    </xf>
    <xf numFmtId="0" fontId="31" fillId="0" borderId="19" xfId="0" applyFont="1" applyBorder="1" applyAlignment="1">
      <alignment horizontal="left" vertical="top" wrapText="1"/>
    </xf>
    <xf numFmtId="0" fontId="31" fillId="0" borderId="15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1" fillId="0" borderId="16" xfId="0" applyFont="1" applyBorder="1" applyAlignment="1">
      <alignment horizontal="left" vertical="top" wrapText="1"/>
    </xf>
    <xf numFmtId="0" fontId="31" fillId="0" borderId="13" xfId="0" applyFont="1" applyBorder="1" applyAlignment="1">
      <alignment horizontal="left" vertical="top" wrapText="1"/>
    </xf>
    <xf numFmtId="0" fontId="31" fillId="0" borderId="52" xfId="0" applyFont="1" applyBorder="1" applyAlignment="1">
      <alignment horizontal="left" vertical="top" wrapText="1"/>
    </xf>
    <xf numFmtId="0" fontId="31" fillId="0" borderId="20" xfId="0" applyFont="1" applyBorder="1" applyAlignment="1">
      <alignment horizontal="left" vertical="top" wrapText="1"/>
    </xf>
    <xf numFmtId="178" fontId="20" fillId="11" borderId="0" xfId="0" applyNumberFormat="1" applyFont="1" applyFill="1" applyAlignment="1">
      <alignment horizontal="center" vertical="center"/>
    </xf>
    <xf numFmtId="0" fontId="26" fillId="3" borderId="15" xfId="0" applyFont="1" applyFill="1" applyBorder="1" applyAlignment="1">
      <alignment horizontal="center"/>
    </xf>
    <xf numFmtId="0" fontId="26" fillId="3" borderId="16" xfId="0" applyFont="1" applyFill="1" applyBorder="1" applyAlignment="1">
      <alignment horizontal="center"/>
    </xf>
    <xf numFmtId="15" fontId="35" fillId="15" borderId="11" xfId="1" applyNumberFormat="1" applyFont="1" applyFill="1" applyBorder="1" applyAlignment="1">
      <alignment horizontal="center" vertical="center"/>
    </xf>
    <xf numFmtId="9" fontId="35" fillId="15" borderId="24" xfId="1" applyFont="1" applyFill="1" applyBorder="1" applyAlignment="1">
      <alignment horizontal="center" vertical="center"/>
    </xf>
    <xf numFmtId="9" fontId="35" fillId="15" borderId="25" xfId="1" applyFont="1" applyFill="1" applyBorder="1" applyAlignment="1">
      <alignment horizontal="center" vertical="center"/>
    </xf>
    <xf numFmtId="9" fontId="52" fillId="15" borderId="11" xfId="1" applyFont="1" applyFill="1" applyBorder="1" applyAlignment="1">
      <alignment horizontal="center" vertical="center"/>
    </xf>
    <xf numFmtId="9" fontId="52" fillId="15" borderId="24" xfId="1" applyFont="1" applyFill="1" applyBorder="1" applyAlignment="1">
      <alignment horizontal="center" vertical="center"/>
    </xf>
    <xf numFmtId="9" fontId="52" fillId="15" borderId="25" xfId="1" applyFont="1" applyFill="1" applyBorder="1" applyAlignment="1">
      <alignment horizontal="center" vertical="center"/>
    </xf>
    <xf numFmtId="9" fontId="54" fillId="15" borderId="11" xfId="1" applyFont="1" applyFill="1" applyBorder="1" applyAlignment="1">
      <alignment horizontal="center" vertical="center"/>
    </xf>
    <xf numFmtId="9" fontId="54" fillId="15" borderId="24" xfId="1" applyFont="1" applyFill="1" applyBorder="1" applyAlignment="1">
      <alignment horizontal="center" vertical="center"/>
    </xf>
    <xf numFmtId="9" fontId="54" fillId="15" borderId="25" xfId="1" applyFont="1" applyFill="1" applyBorder="1" applyAlignment="1">
      <alignment horizontal="center" vertical="center"/>
    </xf>
    <xf numFmtId="9" fontId="36" fillId="15" borderId="11" xfId="1" applyFont="1" applyFill="1" applyBorder="1" applyAlignment="1">
      <alignment horizontal="center" vertical="center"/>
    </xf>
    <xf numFmtId="9" fontId="36" fillId="15" borderId="24" xfId="1" applyFont="1" applyFill="1" applyBorder="1" applyAlignment="1">
      <alignment horizontal="center" vertical="center"/>
    </xf>
    <xf numFmtId="9" fontId="36" fillId="15" borderId="25" xfId="1" applyFont="1" applyFill="1" applyBorder="1" applyAlignment="1">
      <alignment horizontal="center" vertical="center"/>
    </xf>
    <xf numFmtId="9" fontId="37" fillId="15" borderId="11" xfId="1" applyFont="1" applyFill="1" applyBorder="1" applyAlignment="1">
      <alignment horizontal="center" vertical="center"/>
    </xf>
    <xf numFmtId="9" fontId="37" fillId="15" borderId="24" xfId="1" applyFont="1" applyFill="1" applyBorder="1" applyAlignment="1">
      <alignment horizontal="center" vertical="center"/>
    </xf>
    <xf numFmtId="9" fontId="37" fillId="15" borderId="25" xfId="1" applyFont="1" applyFill="1" applyBorder="1" applyAlignment="1">
      <alignment horizontal="center" vertical="center"/>
    </xf>
    <xf numFmtId="0" fontId="66" fillId="0" borderId="0" xfId="0" applyFont="1" applyAlignment="1">
      <alignment horizontal="left"/>
    </xf>
  </cellXfs>
  <cellStyles count="35">
    <cellStyle name="Comma" xfId="15" builtinId="3"/>
    <cellStyle name="Currency" xfId="23" builtinId="4"/>
    <cellStyle name="Date" xfId="6" xr:uid="{B98190A5-C4BA-49D8-9BDC-B3545F1E4BAA}"/>
    <cellStyle name="Date 2" xfId="26" xr:uid="{D26C198A-6BB0-434D-B064-05D0E8B494F1}"/>
    <cellStyle name="Euro" xfId="12" xr:uid="{CBF78316-392E-4BEC-8D36-49BCECB906B2}"/>
    <cellStyle name="Hyperlink" xfId="7" builtinId="8"/>
    <cellStyle name="interdit" xfId="14" xr:uid="{AE454B57-2842-4DB1-ACD5-EBF59B510E6D}"/>
    <cellStyle name="Milliers [0] 2" xfId="28" xr:uid="{D88CB5AF-306D-4F61-A035-9402F2260C43}"/>
    <cellStyle name="Milliers 2" xfId="16" xr:uid="{2718F04F-8F24-C44D-A0B2-3FE019BD2977}"/>
    <cellStyle name="Milliers 2 2" xfId="31" xr:uid="{F4C15ACC-C7AB-4D90-818E-43D7E98F8ECC}"/>
    <cellStyle name="Milliers 3" xfId="20" xr:uid="{4E936317-A7DB-408E-A74A-CCD2BADA3959}"/>
    <cellStyle name="Milliers 3 2" xfId="32" xr:uid="{87FA35F8-0E59-41D9-97C9-895C98ADE20C}"/>
    <cellStyle name="Milliers 4 4" xfId="21" xr:uid="{7B103FDA-4E37-4432-AA12-644032FCE11F}"/>
    <cellStyle name="Monétaire 2" xfId="33" xr:uid="{055F25BA-6F95-47C5-880F-3D6037723542}"/>
    <cellStyle name="Name" xfId="4" xr:uid="{FCC01F56-8298-4992-BD2A-4C39E633FCE2}"/>
    <cellStyle name="Normal" xfId="0" builtinId="0"/>
    <cellStyle name="Normal 2" xfId="13" xr:uid="{FC7A7E2F-9A73-4FD9-B19D-ED8E34C667A7}"/>
    <cellStyle name="Normal 2 2" xfId="30" xr:uid="{4343E6E2-1CEB-409F-A29E-79A91E7F2301}"/>
    <cellStyle name="Normal 3" xfId="24" xr:uid="{F813E866-2F85-45D0-83EC-B46C84B3856C}"/>
    <cellStyle name="Normal 3 2 2" xfId="19" xr:uid="{A535BF59-2B00-40A3-9C3F-575264CB94E6}"/>
    <cellStyle name="Normal 4" xfId="29" xr:uid="{AC388861-BD65-417D-B36A-2352E171FA9F}"/>
    <cellStyle name="Normal_S2-ACHETER (1)" xfId="34" xr:uid="{37A3CB31-17B8-4593-BB4B-564D6C2744A3}"/>
    <cellStyle name="Percent" xfId="1" builtinId="5"/>
    <cellStyle name="Pourcentage 2" xfId="18" xr:uid="{5BAC7818-0470-0A45-B3EB-8D5877E6ACF6}"/>
    <cellStyle name="Pourcentage 2 2 2" xfId="22" xr:uid="{9A9664DC-EEBE-4C0F-83D2-EF1006838CF2}"/>
    <cellStyle name="Pourcentage 3" xfId="27" xr:uid="{1EF2EA97-E444-4FE5-907C-B73A1224A000}"/>
    <cellStyle name="Pourcentage 3 2" xfId="17" xr:uid="{84EE4479-6CCC-B743-BEA4-39526042579F}"/>
    <cellStyle name="Project Start" xfId="3" xr:uid="{6620F364-E01C-4762-9AC7-2E0912C5FAE3}"/>
    <cellStyle name="Task" xfId="5" xr:uid="{0FB5873D-2F1C-4848-AD32-293E37CA5AD0}"/>
    <cellStyle name="Titre 2" xfId="8" xr:uid="{FFB82442-154A-41FA-8646-1B04C0A663C0}"/>
    <cellStyle name="Titre 1 2" xfId="10" xr:uid="{36E0EEA5-8703-4EBE-BADA-2C805EBD3134}"/>
    <cellStyle name="Titre 2 2" xfId="11" xr:uid="{D8CF0844-12A6-441F-89F9-EAA47DC9E863}"/>
    <cellStyle name="Titre 3 2" xfId="9" xr:uid="{BA40F5F9-93D9-444E-848A-356B23C32934}"/>
    <cellStyle name="Titre 3 3" xfId="25" xr:uid="{9DA761F0-4C87-4EC3-B5F0-9EBA7D738213}"/>
    <cellStyle name="zHiddenText" xfId="2" xr:uid="{7CFE2978-AF06-4F61-8D51-8661693E7D57}"/>
  </cellStyles>
  <dxfs count="6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scheme val="minor"/>
      </font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  <numFmt numFmtId="172" formatCode="_ * #,##0_)_ ;_ * \(#,##0\)_ ;_ * &quot;-&quot;??_)_ ;_ @_ 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numFmt numFmtId="195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numFmt numFmtId="195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numFmt numFmtId="195" formatCode="dd/m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numFmt numFmtId="13" formatCode="0%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2" formatCode="_-* #,##0.000\ [$CFA-300C]_-;\-* #,##0.000\ [$CFA-300C]_-;_-* &quot;-&quot;???\ [$CFA-300C]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5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5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medium">
          <color rgb="FFC0C0C0"/>
        </bottom>
        <vertical/>
        <horizontal/>
      </border>
    </dxf>
    <dxf>
      <numFmt numFmtId="195" formatCode="dd/mm/yyyy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0" formatCode="_-* #,##0.00\ [$CFA-300C]_-;\-* #,##0.00\ [$CFA-300C]_-;_-* &quot;-&quot;??\ [$CFA-300C]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1" tint="0.24994659260841701"/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ToDoList" pivot="0" count="9" xr9:uid="{81088157-0333-4CC4-80EF-4EFD2561DF9E}">
      <tableStyleElement type="wholeTable" dxfId="61"/>
      <tableStyleElement type="headerRow" dxfId="60"/>
      <tableStyleElement type="totalRow" dxfId="59"/>
      <tableStyleElement type="firstColumn" dxfId="58"/>
      <tableStyleElement type="lastColumn" dxfId="57"/>
      <tableStyleElement type="firstRowStripe" dxfId="56"/>
      <tableStyleElement type="secondRowStripe" dxfId="55"/>
      <tableStyleElement type="firstColumnStripe" dxfId="54"/>
      <tableStyleElement type="secondColumnStripe" dxfId="53"/>
    </tableStyle>
  </tableStyles>
  <colors>
    <mruColors>
      <color rgb="FFBA4608"/>
      <color rgb="FF0432FF"/>
      <color rgb="FF53B032"/>
      <color rgb="FF199C66"/>
      <color rgb="FF00FA00"/>
      <color rgb="FF00E8F9"/>
      <color rgb="FFFEC2C3"/>
      <color rgb="FFFFFF06"/>
      <color rgb="FFFF9300"/>
      <color rgb="FF2C83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0" normalizeH="0" baseline="0">
                <a:solidFill>
                  <a:srgbClr val="156082"/>
                </a:solidFill>
                <a:latin typeface="+mj-lt"/>
                <a:ea typeface="+mj-ea"/>
                <a:cs typeface="+mj-cs"/>
              </a:defRPr>
            </a:pPr>
            <a:r>
              <a:rPr lang="fr-FR" b="1">
                <a:solidFill>
                  <a:srgbClr val="0432FF"/>
                </a:solidFill>
              </a:rPr>
              <a:t>MARGE NETTE DU PROJET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0" normalizeH="0" baseline="0">
              <a:solidFill>
                <a:srgbClr val="156082"/>
              </a:solidFill>
              <a:latin typeface="+mj-lt"/>
              <a:ea typeface="+mj-ea"/>
              <a:cs typeface="+mj-cs"/>
            </a:defRPr>
          </a:pPr>
          <a:endParaRPr lang="fr-T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Statistiques!$A$39</c:f>
              <c:strCache>
                <c:ptCount val="1"/>
                <c:pt idx="0">
                  <c:v>Marge nette vendue %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Statistiques!$D$35:$N$35</c15:sqref>
                  </c15:fullRef>
                </c:ext>
              </c:extLst>
              <c:f>Statistiques!$D$35:$L$35</c:f>
              <c:numCache>
                <c:formatCode>[$-40C]mmm\-yy;@</c:formatCode>
                <c:ptCount val="9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Statistiques!$D$39:$N$39</c15:sqref>
                  </c15:fullRef>
                </c:ext>
              </c:extLst>
              <c:f>Statistiques!$D$39:$L$39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DA-E04D-A3B8-A51508012FD8}"/>
            </c:ext>
          </c:extLst>
        </c:ser>
        <c:ser>
          <c:idx val="1"/>
          <c:order val="1"/>
          <c:tx>
            <c:strRef>
              <c:f>Statistiques!$A$40</c:f>
              <c:strCache>
                <c:ptCount val="1"/>
                <c:pt idx="0">
                  <c:v>Marge nette actuelle %</c:v>
                </c:pt>
              </c:strCache>
            </c:strRef>
          </c:tx>
          <c:spPr>
            <a:ln w="38100" cap="rnd">
              <a:solidFill>
                <a:srgbClr val="199C6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Statistiques!$D$35:$N$35</c15:sqref>
                  </c15:fullRef>
                </c:ext>
              </c:extLst>
              <c:f>Statistiques!$D$35:$L$35</c:f>
              <c:numCache>
                <c:formatCode>[$-40C]mmm\-yy;@</c:formatCode>
                <c:ptCount val="9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Statistiques!$D$40:$N$40</c15:sqref>
                  </c15:fullRef>
                </c:ext>
              </c:extLst>
              <c:f>Statistiques!$D$40:$L$40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DA-E04D-A3B8-A51508012FD8}"/>
            </c:ext>
          </c:extLst>
        </c:ser>
        <c:ser>
          <c:idx val="2"/>
          <c:order val="2"/>
          <c:tx>
            <c:strRef>
              <c:f>Statistiques!$A$41</c:f>
              <c:strCache>
                <c:ptCount val="1"/>
                <c:pt idx="0">
                  <c:v>Marge nette EAC %</c:v>
                </c:pt>
              </c:strCache>
            </c:strRef>
          </c:tx>
          <c:spPr>
            <a:ln w="31750" cap="rnd">
              <a:solidFill>
                <a:srgbClr val="0432FF"/>
              </a:solidFill>
              <a:miter lim="800000"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Statistiques!$D$35:$N$35</c15:sqref>
                  </c15:fullRef>
                </c:ext>
              </c:extLst>
              <c:f>Statistiques!$D$35:$L$35</c:f>
              <c:numCache>
                <c:formatCode>[$-40C]mmm\-yy;@</c:formatCode>
                <c:ptCount val="9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Statistiques!$D$41:$N$41</c15:sqref>
                  </c15:fullRef>
                </c:ext>
              </c:extLst>
              <c:f>Statistiques!$D$41:$L$41</c:f>
              <c:numCache>
                <c:formatCode>0.00%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DA-E04D-A3B8-A51508012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175535"/>
        <c:axId val="756657375"/>
      </c:lineChart>
      <c:dateAx>
        <c:axId val="1731175535"/>
        <c:scaling>
          <c:orientation val="minMax"/>
        </c:scaling>
        <c:delete val="0"/>
        <c:axPos val="b"/>
        <c:numFmt formatCode="[$-40C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56657375"/>
        <c:crosses val="autoZero"/>
        <c:auto val="1"/>
        <c:lblOffset val="100"/>
        <c:baseTimeUnit val="months"/>
      </c:dateAx>
      <c:valAx>
        <c:axId val="75665737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73117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432FF"/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0432FF"/>
                </a:solidFill>
              </a:rPr>
              <a:t>EVOLUTION CA PRODUCTION VS COÛT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Statistiques!$A$20</c:f>
              <c:strCache>
                <c:ptCount val="1"/>
                <c:pt idx="0">
                  <c:v>CA Production TND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Statistiques!$D$19:$N$19</c15:sqref>
                  </c15:fullRef>
                </c:ext>
              </c:extLst>
              <c:f>Statistiques!$D$19:$L$19</c:f>
              <c:numCache>
                <c:formatCode>[$-40C]mmm\-yy;@</c:formatCode>
                <c:ptCount val="9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Statistiques!$D$20:$N$20</c15:sqref>
                  </c15:fullRef>
                </c:ext>
              </c:extLst>
              <c:f>Statistiques!$D$20:$L$20</c:f>
              <c:numCache>
                <c:formatCode>_-* #\ ##0.00\ "DT"_-;\-* #\ ##0.00\ "DT"_-;_-* "-"??\ "DT"_-;_-@_-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ED2-2E45-B947-B7C76059509B}"/>
            </c:ext>
          </c:extLst>
        </c:ser>
        <c:ser>
          <c:idx val="1"/>
          <c:order val="1"/>
          <c:tx>
            <c:strRef>
              <c:f>Statistiques!$A$30</c:f>
              <c:strCache>
                <c:ptCount val="1"/>
                <c:pt idx="0">
                  <c:v>Coût réel cumul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Statistiques!$D$19:$N$19</c15:sqref>
                  </c15:fullRef>
                </c:ext>
              </c:extLst>
              <c:f>Statistiques!$D$19:$L$19</c:f>
              <c:numCache>
                <c:formatCode>[$-40C]mmm\-yy;@</c:formatCode>
                <c:ptCount val="9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Statistiques!$D$30:$N$30</c15:sqref>
                  </c15:fullRef>
                </c:ext>
              </c:extLst>
              <c:f>Statistiques!$D$30:$L$30</c:f>
              <c:numCache>
                <c:formatCode>_-* #\ ##0\ "DT"_-;\-* #\ ##0\ "DT"_-;_-* "-"??\ "DT"_-;_-@_-</c:formatCode>
                <c:ptCount val="9"/>
                <c:pt idx="0">
                  <c:v>70702.302626144228</c:v>
                </c:pt>
                <c:pt idx="1">
                  <c:v>114946.78914649332</c:v>
                </c:pt>
                <c:pt idx="2">
                  <c:v>157206.5085205806</c:v>
                </c:pt>
                <c:pt idx="3">
                  <c:v>204677.46742479393</c:v>
                </c:pt>
                <c:pt idx="4">
                  <c:v>280353.70281361177</c:v>
                </c:pt>
                <c:pt idx="5">
                  <c:v>338992.44527237653</c:v>
                </c:pt>
                <c:pt idx="6">
                  <c:v>408571.12167925877</c:v>
                </c:pt>
                <c:pt idx="7">
                  <c:v>473238.97836937872</c:v>
                </c:pt>
                <c:pt idx="8">
                  <c:v>534254.85599705752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ED2-2E45-B947-B7C7605950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1175535"/>
        <c:axId val="756657375"/>
      </c:lineChart>
      <c:dateAx>
        <c:axId val="1731175535"/>
        <c:scaling>
          <c:orientation val="minMax"/>
        </c:scaling>
        <c:delete val="0"/>
        <c:axPos val="b"/>
        <c:numFmt formatCode="[$-40C]mmm\-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56657375"/>
        <c:crosses val="autoZero"/>
        <c:auto val="1"/>
        <c:lblOffset val="100"/>
        <c:baseTimeUnit val="months"/>
      </c:dateAx>
      <c:valAx>
        <c:axId val="7566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DT&quot;_-;\-* #\ ##0.00\ &quot;DT&quot;_-;_-* &quot;-&quot;??\ &quot;DT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73117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0432FF"/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0432FF"/>
                </a:solidFill>
              </a:rPr>
              <a:t>EVOLUTION FACTURATION vs</a:t>
            </a:r>
            <a:r>
              <a:rPr lang="fr-FR" baseline="0">
                <a:solidFill>
                  <a:srgbClr val="0432FF"/>
                </a:solidFill>
              </a:rPr>
              <a:t> ca VS COÛTS </a:t>
            </a:r>
            <a:endParaRPr lang="fr-FR">
              <a:solidFill>
                <a:srgbClr val="0432F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Statistiques!$A$20</c:f>
              <c:strCache>
                <c:ptCount val="1"/>
                <c:pt idx="0">
                  <c:v>CA Production TND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Statistiques!$D$19:$N$19</c15:sqref>
                  </c15:fullRef>
                </c:ext>
              </c:extLst>
              <c:f>Statistiques!$D$19:$L$19</c:f>
              <c:numCache>
                <c:formatCode>[$-40C]mmm\-yy;@</c:formatCode>
                <c:ptCount val="9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Statistiques!$D$20:$N$20</c15:sqref>
                  </c15:fullRef>
                </c:ext>
              </c:extLst>
              <c:f>Statistiques!$D$20:$L$20</c:f>
              <c:numCache>
                <c:formatCode>_-* #\ ##0.00\ "DT"_-;\-* #\ ##0.00\ "DT"_-;_-* "-"??\ "DT"_-;_-@_-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8-F741-BFDF-95AAD8F59C12}"/>
            </c:ext>
          </c:extLst>
        </c:ser>
        <c:ser>
          <c:idx val="1"/>
          <c:order val="1"/>
          <c:tx>
            <c:strRef>
              <c:f>Statistiques!$A$22</c:f>
              <c:strCache>
                <c:ptCount val="1"/>
                <c:pt idx="0">
                  <c:v>CA Facturé TND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Statistiques!$D$19:$N$19</c15:sqref>
                  </c15:fullRef>
                </c:ext>
              </c:extLst>
              <c:f>Statistiques!$D$19:$L$19</c:f>
              <c:numCache>
                <c:formatCode>[$-40C]mmm\-yy;@</c:formatCode>
                <c:ptCount val="9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Statistiques!$D$22:$N$22</c15:sqref>
                  </c15:fullRef>
                </c:ext>
              </c:extLst>
              <c:f>Statistiques!$D$22:$L$22</c:f>
              <c:numCache>
                <c:formatCode>_-* #\ ##0.00\ "DT"_-;\-* #\ ##0.00\ "DT"_-;_-* "-"??\ "DT"_-;_-@_-</c:formatCode>
                <c:ptCount val="9"/>
                <c:pt idx="0" formatCode="_-* #\ ##0\ &quot;DT&quot;_-;\-* #\ ##0\ &quot;DT&quot;_-;_-* &quot;-&quot;??\ &quot;DT&quot;_-;_-@_-">
                  <c:v>0</c:v>
                </c:pt>
                <c:pt idx="1">
                  <c:v>0</c:v>
                </c:pt>
                <c:pt idx="2" formatCode="_-* #\ ##0\ &quot;DT&quot;_-;\-* #\ ##0\ &quot;DT&quot;_-;_-* &quot;-&quot;??\ &quot;DT&quot;_-;_-@_-">
                  <c:v>0</c:v>
                </c:pt>
                <c:pt idx="3" formatCode="_-* #\ ##0\ &quot;DT&quot;_-;\-* #\ ##0\ &quot;DT&quot;_-;_-* &quot;-&quot;??\ &quot;DT&quot;_-;_-@_-">
                  <c:v>0</c:v>
                </c:pt>
                <c:pt idx="4" formatCode="_-* #\ ##0\ &quot;DT&quot;_-;\-* #\ ##0\ &quot;DT&quot;_-;_-* &quot;-&quot;??\ &quot;DT&quot;_-;_-@_-">
                  <c:v>0</c:v>
                </c:pt>
                <c:pt idx="5" formatCode="_-* #\ ##0\ &quot;DT&quot;_-;\-* #\ ##0\ &quot;DT&quot;_-;_-* &quot;-&quot;??\ &quot;DT&quot;_-;_-@_-">
                  <c:v>0</c:v>
                </c:pt>
                <c:pt idx="6" formatCode="_-* #\ ##0\ &quot;DT&quot;_-;\-* #\ ##0\ &quot;DT&quot;_-;_-* &quot;-&quot;??\ &quot;DT&quot;_-;_-@_-">
                  <c:v>0</c:v>
                </c:pt>
                <c:pt idx="7" formatCode="_-* #\ ##0\ &quot;DT&quot;_-;\-* #\ ##0\ &quot;DT&quot;_-;_-* &quot;-&quot;??\ &quot;DT&quot;_-;_-@_-">
                  <c:v>0</c:v>
                </c:pt>
                <c:pt idx="8" formatCode="_-* #\ ##0\ &quot;DT&quot;_-;\-* #\ ##0\ &quot;DT&quot;_-;_-* &quot;-&quot;??\ &quot;DT&quot;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E8-F741-BFDF-95AAD8F59C12}"/>
            </c:ext>
          </c:extLst>
        </c:ser>
        <c:ser>
          <c:idx val="2"/>
          <c:order val="2"/>
          <c:tx>
            <c:strRef>
              <c:f>Statistiques!$A$30</c:f>
              <c:strCache>
                <c:ptCount val="1"/>
                <c:pt idx="0">
                  <c:v>Coût réel cumul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Statistiques!$D$19:$N$19</c15:sqref>
                  </c15:fullRef>
                </c:ext>
              </c:extLst>
              <c:f>Statistiques!$D$19:$L$19</c:f>
              <c:numCache>
                <c:formatCode>[$-40C]mmm\-yy;@</c:formatCode>
                <c:ptCount val="9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Statistiques!$D$30:$N$30</c15:sqref>
                  </c15:fullRef>
                </c:ext>
              </c:extLst>
              <c:f>Statistiques!$D$30:$L$30</c:f>
              <c:numCache>
                <c:formatCode>_-* #\ ##0\ "DT"_-;\-* #\ ##0\ "DT"_-;_-* "-"??\ "DT"_-;_-@_-</c:formatCode>
                <c:ptCount val="9"/>
                <c:pt idx="0">
                  <c:v>70702.302626144228</c:v>
                </c:pt>
                <c:pt idx="1">
                  <c:v>114946.78914649332</c:v>
                </c:pt>
                <c:pt idx="2">
                  <c:v>157206.5085205806</c:v>
                </c:pt>
                <c:pt idx="3">
                  <c:v>204677.46742479393</c:v>
                </c:pt>
                <c:pt idx="4">
                  <c:v>280353.70281361177</c:v>
                </c:pt>
                <c:pt idx="5">
                  <c:v>338992.44527237653</c:v>
                </c:pt>
                <c:pt idx="6">
                  <c:v>408571.12167925877</c:v>
                </c:pt>
                <c:pt idx="7">
                  <c:v>473238.97836937872</c:v>
                </c:pt>
                <c:pt idx="8">
                  <c:v>534254.85599705752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5-0640-8F9C-6F4DDD1A8B7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1175535"/>
        <c:axId val="756657375"/>
      </c:lineChart>
      <c:dateAx>
        <c:axId val="1731175535"/>
        <c:scaling>
          <c:orientation val="minMax"/>
        </c:scaling>
        <c:delete val="0"/>
        <c:axPos val="b"/>
        <c:numFmt formatCode="[$-40C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56657375"/>
        <c:crosses val="autoZero"/>
        <c:auto val="1"/>
        <c:lblOffset val="100"/>
        <c:baseTimeUnit val="months"/>
      </c:dateAx>
      <c:valAx>
        <c:axId val="756657375"/>
        <c:scaling>
          <c:orientation val="minMax"/>
        </c:scaling>
        <c:delete val="0"/>
        <c:axPos val="l"/>
        <c:numFmt formatCode="_-* #\ ##0.00\ &quot;DT&quot;_-;\-* #\ ##0.00\ &quot;DT&quot;_-;_-* &quot;-&quot;??\ &quot;DT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73117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rgbClr val="0432FF"/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0432FF"/>
                </a:solidFill>
              </a:rPr>
              <a:t>EVOLUTION CHARGE</a:t>
            </a:r>
            <a:r>
              <a:rPr lang="fr-FR" baseline="0">
                <a:solidFill>
                  <a:srgbClr val="0432FF"/>
                </a:solidFill>
              </a:rPr>
              <a:t> HJ</a:t>
            </a:r>
            <a:endParaRPr lang="fr-FR">
              <a:solidFill>
                <a:srgbClr val="0432FF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Statistiques!$A$48</c:f>
              <c:strCache>
                <c:ptCount val="1"/>
                <c:pt idx="0">
                  <c:v>Reste à faire global (HJ) ETC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Statistiques!$D$44:$N$44</c:f>
              <c:numCache>
                <c:formatCode>[$-40C]mmm\-yy;@</c:formatCode>
                <c:ptCount val="11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  <c:pt idx="9">
                  <c:v>45632</c:v>
                </c:pt>
                <c:pt idx="10">
                  <c:v>45663</c:v>
                </c:pt>
              </c:numCache>
            </c:numRef>
          </c:cat>
          <c:val>
            <c:numRef>
              <c:f>Statistiques!$D$48:$N$48</c:f>
              <c:numCache>
                <c:formatCode>_ * #\ ##0_)_ ;_ * \(#\ ##0\)_ ;_ * "-"??_)_ ;_ @_ </c:formatCode>
                <c:ptCount val="11"/>
                <c:pt idx="0">
                  <c:v>1654</c:v>
                </c:pt>
                <c:pt idx="1">
                  <c:v>1529</c:v>
                </c:pt>
                <c:pt idx="2">
                  <c:v>1394</c:v>
                </c:pt>
                <c:pt idx="3">
                  <c:v>1229</c:v>
                </c:pt>
                <c:pt idx="4">
                  <c:v>1009</c:v>
                </c:pt>
                <c:pt idx="5">
                  <c:v>829</c:v>
                </c:pt>
                <c:pt idx="6">
                  <c:v>641</c:v>
                </c:pt>
                <c:pt idx="7">
                  <c:v>448</c:v>
                </c:pt>
                <c:pt idx="8">
                  <c:v>303</c:v>
                </c:pt>
                <c:pt idx="9">
                  <c:v>193</c:v>
                </c:pt>
                <c:pt idx="1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F16-9348-969A-DEDA1CBD9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2563951"/>
        <c:axId val="170226406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Statistiques!$A$46</c15:sqref>
                        </c15:formulaRef>
                      </c:ext>
                    </c:extLst>
                    <c:strCache>
                      <c:ptCount val="1"/>
                      <c:pt idx="0">
                        <c:v>Consommés mois en cours (HJ)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Statistiques!$D$44:$N$44</c15:sqref>
                        </c15:formulaRef>
                      </c:ext>
                    </c:extLst>
                    <c:numCache>
                      <c:formatCode>[$-40C]mmm\-yy;@</c:formatCode>
                      <c:ptCount val="11"/>
                      <c:pt idx="0">
                        <c:v>45357</c:v>
                      </c:pt>
                      <c:pt idx="1">
                        <c:v>45388</c:v>
                      </c:pt>
                      <c:pt idx="2">
                        <c:v>45418</c:v>
                      </c:pt>
                      <c:pt idx="3">
                        <c:v>45449</c:v>
                      </c:pt>
                      <c:pt idx="4">
                        <c:v>45479</c:v>
                      </c:pt>
                      <c:pt idx="5">
                        <c:v>45510</c:v>
                      </c:pt>
                      <c:pt idx="6">
                        <c:v>45541</c:v>
                      </c:pt>
                      <c:pt idx="7">
                        <c:v>45571</c:v>
                      </c:pt>
                      <c:pt idx="8">
                        <c:v>45602</c:v>
                      </c:pt>
                      <c:pt idx="9">
                        <c:v>45632</c:v>
                      </c:pt>
                      <c:pt idx="10">
                        <c:v>45663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Statistiques!$D$46:$N$46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125</c:v>
                      </c:pt>
                      <c:pt idx="1">
                        <c:v>186</c:v>
                      </c:pt>
                      <c:pt idx="2">
                        <c:v>184</c:v>
                      </c:pt>
                      <c:pt idx="3">
                        <c:v>201</c:v>
                      </c:pt>
                      <c:pt idx="4">
                        <c:v>230.5</c:v>
                      </c:pt>
                      <c:pt idx="5">
                        <c:v>174.75</c:v>
                      </c:pt>
                      <c:pt idx="6">
                        <c:v>218.5625</c:v>
                      </c:pt>
                      <c:pt idx="7">
                        <c:v>187.6875</c:v>
                      </c:pt>
                      <c:pt idx="8">
                        <c:v>187.72499999999999</c:v>
                      </c:pt>
                      <c:pt idx="9">
                        <c:v>168.125</c:v>
                      </c:pt>
                      <c:pt idx="10">
                        <c:v>101.625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CF16-9348-969A-DEDA1CBD903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Statistiques!$A$45</c:f>
              <c:strCache>
                <c:ptCount val="1"/>
                <c:pt idx="0">
                  <c:v>Charge prevue globale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Statistiques!$D$44:$N$44</c:f>
              <c:numCache>
                <c:formatCode>[$-40C]mmm\-yy;@</c:formatCode>
                <c:ptCount val="11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  <c:pt idx="9">
                  <c:v>45632</c:v>
                </c:pt>
                <c:pt idx="10">
                  <c:v>45663</c:v>
                </c:pt>
              </c:numCache>
            </c:numRef>
          </c:cat>
          <c:val>
            <c:numRef>
              <c:f>Statistiques!$D$45:$N$45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16-9348-969A-DEDA1CBD903E}"/>
            </c:ext>
          </c:extLst>
        </c:ser>
        <c:ser>
          <c:idx val="2"/>
          <c:order val="2"/>
          <c:tx>
            <c:strRef>
              <c:f>Statistiques!$A$47</c:f>
              <c:strCache>
                <c:ptCount val="1"/>
                <c:pt idx="0">
                  <c:v>Consommés cumul  (HJ)</c:v>
                </c:pt>
              </c:strCache>
            </c:strRef>
          </c:tx>
          <c:spPr>
            <a:ln w="2540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Statistiques!$D$44:$N$44</c:f>
              <c:numCache>
                <c:formatCode>[$-40C]mmm\-yy;@</c:formatCode>
                <c:ptCount val="11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  <c:pt idx="9">
                  <c:v>45632</c:v>
                </c:pt>
                <c:pt idx="10">
                  <c:v>45663</c:v>
                </c:pt>
              </c:numCache>
            </c:numRef>
          </c:cat>
          <c:val>
            <c:numRef>
              <c:f>Statistiques!$D$47:$N$47</c:f>
              <c:numCache>
                <c:formatCode>General</c:formatCode>
                <c:ptCount val="11"/>
                <c:pt idx="0">
                  <c:v>243</c:v>
                </c:pt>
                <c:pt idx="1">
                  <c:v>429</c:v>
                </c:pt>
                <c:pt idx="2">
                  <c:v>613</c:v>
                </c:pt>
                <c:pt idx="3">
                  <c:v>814</c:v>
                </c:pt>
                <c:pt idx="4">
                  <c:v>1044.5</c:v>
                </c:pt>
                <c:pt idx="5">
                  <c:v>1219.25</c:v>
                </c:pt>
                <c:pt idx="6">
                  <c:v>1437.8125</c:v>
                </c:pt>
                <c:pt idx="7">
                  <c:v>1625.5</c:v>
                </c:pt>
                <c:pt idx="8">
                  <c:v>1813.2249999999999</c:v>
                </c:pt>
                <c:pt idx="9">
                  <c:v>1981.35</c:v>
                </c:pt>
                <c:pt idx="10">
                  <c:v>2082.9749999999999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16-9348-969A-DEDA1CBD903E}"/>
            </c:ext>
          </c:extLst>
        </c:ser>
        <c:ser>
          <c:idx val="4"/>
          <c:order val="4"/>
          <c:tx>
            <c:strRef>
              <c:f>Statistiques!$A$49</c:f>
              <c:strCache>
                <c:ptCount val="1"/>
                <c:pt idx="0">
                  <c:v>Reste à faire global (HJ) EAC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Statistiques!$C$49:$O$49</c:f>
              <c:numCache>
                <c:formatCode>_ * #\ ##0_)_ ;_ * \(#\ ##0\)_ ;_ * "-"??_)_ ;_ @_ </c:formatCode>
                <c:ptCount val="13"/>
                <c:pt idx="0">
                  <c:v>1887</c:v>
                </c:pt>
                <c:pt idx="1">
                  <c:v>1897</c:v>
                </c:pt>
                <c:pt idx="2">
                  <c:v>1958</c:v>
                </c:pt>
                <c:pt idx="3">
                  <c:v>2007</c:v>
                </c:pt>
                <c:pt idx="4">
                  <c:v>2043</c:v>
                </c:pt>
                <c:pt idx="5">
                  <c:v>2053.5</c:v>
                </c:pt>
                <c:pt idx="6">
                  <c:v>2048.25</c:v>
                </c:pt>
                <c:pt idx="7">
                  <c:v>2078.8125</c:v>
                </c:pt>
                <c:pt idx="8">
                  <c:v>2073.5</c:v>
                </c:pt>
                <c:pt idx="9">
                  <c:v>2116.2249999999999</c:v>
                </c:pt>
                <c:pt idx="10">
                  <c:v>2174.35</c:v>
                </c:pt>
                <c:pt idx="11">
                  <c:v>2174.9749999999999</c:v>
                </c:pt>
                <c:pt idx="12">
                  <c:v>2203.9749999999999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AF-4769-9B4E-B770A74F4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563951"/>
        <c:axId val="1702264063"/>
      </c:lineChart>
      <c:valAx>
        <c:axId val="1702264063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702563951"/>
        <c:crosses val="max"/>
        <c:crossBetween val="between"/>
      </c:valAx>
      <c:dateAx>
        <c:axId val="1702563951"/>
        <c:scaling>
          <c:orientation val="minMax"/>
        </c:scaling>
        <c:delete val="0"/>
        <c:axPos val="b"/>
        <c:numFmt formatCode="[$-40C]mmm\-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702264063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0432FF"/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>
                <a:solidFill>
                  <a:srgbClr val="0432FF"/>
                </a:solidFill>
              </a:rPr>
              <a:t>EVOLUTION COÛtS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Statistiques!$A$28</c:f>
              <c:strCache>
                <c:ptCount val="1"/>
                <c:pt idx="0">
                  <c:v>Coût réel (mois)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Statistiques!$D$26:$N$26</c:f>
              <c:numCache>
                <c:formatCode>[$-40C]mmm\-yy;@</c:formatCode>
                <c:ptCount val="11"/>
                <c:pt idx="0">
                  <c:v>45357</c:v>
                </c:pt>
                <c:pt idx="1">
                  <c:v>45388</c:v>
                </c:pt>
                <c:pt idx="2">
                  <c:v>45418</c:v>
                </c:pt>
                <c:pt idx="3">
                  <c:v>45449</c:v>
                </c:pt>
                <c:pt idx="4">
                  <c:v>45479</c:v>
                </c:pt>
                <c:pt idx="5">
                  <c:v>45510</c:v>
                </c:pt>
                <c:pt idx="6">
                  <c:v>45541</c:v>
                </c:pt>
                <c:pt idx="7">
                  <c:v>45571</c:v>
                </c:pt>
                <c:pt idx="8">
                  <c:v>45602</c:v>
                </c:pt>
                <c:pt idx="9">
                  <c:v>45632</c:v>
                </c:pt>
                <c:pt idx="10">
                  <c:v>45663</c:v>
                </c:pt>
              </c:numCache>
            </c:numRef>
          </c:cat>
          <c:val>
            <c:numRef>
              <c:f>Statistiques!$D$28:$O$28</c:f>
              <c:numCache>
                <c:formatCode>_-* #\ ##0\ "DT"_-;\-* #\ ##0\ "DT"_-;_-* "-"??\ "DT"_-;_-@_-</c:formatCode>
                <c:ptCount val="12"/>
                <c:pt idx="0">
                  <c:v>35658.786592269091</c:v>
                </c:pt>
                <c:pt idx="1">
                  <c:v>44244.486520349092</c:v>
                </c:pt>
                <c:pt idx="2">
                  <c:v>42259.719374087275</c:v>
                </c:pt>
                <c:pt idx="3">
                  <c:v>47470.95890421333</c:v>
                </c:pt>
                <c:pt idx="4">
                  <c:v>75676.235388817862</c:v>
                </c:pt>
                <c:pt idx="5">
                  <c:v>58638.742458764769</c:v>
                </c:pt>
                <c:pt idx="6">
                  <c:v>69578.676406882209</c:v>
                </c:pt>
                <c:pt idx="7">
                  <c:v>64667.856690119937</c:v>
                </c:pt>
                <c:pt idx="8">
                  <c:v>61015.877627678834</c:v>
                </c:pt>
                <c:pt idx="9">
                  <c:v>62006.313454315001</c:v>
                </c:pt>
                <c:pt idx="10">
                  <c:v>27072.335999999999</c:v>
                </c:pt>
                <c:pt idx="11">
                  <c:v>7552.5333333333338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F5-DF45-8404-1DE424410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175535"/>
        <c:axId val="756657375"/>
      </c:barChart>
      <c:lineChart>
        <c:grouping val="standard"/>
        <c:varyColors val="0"/>
        <c:ser>
          <c:idx val="0"/>
          <c:order val="1"/>
          <c:tx>
            <c:strRef>
              <c:f>Statistiques!$A$27</c:f>
              <c:strCache>
                <c:ptCount val="1"/>
                <c:pt idx="0">
                  <c:v>Coût initial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f>Statistiques!$C$19:$O$19</c:f>
              <c:numCache>
                <c:formatCode>[$-40C]mmm\-yy;@</c:formatCode>
                <c:ptCount val="13"/>
                <c:pt idx="0">
                  <c:v>45328</c:v>
                </c:pt>
                <c:pt idx="1">
                  <c:v>45357</c:v>
                </c:pt>
                <c:pt idx="2">
                  <c:v>45388</c:v>
                </c:pt>
                <c:pt idx="3">
                  <c:v>45418</c:v>
                </c:pt>
                <c:pt idx="4">
                  <c:v>45449</c:v>
                </c:pt>
                <c:pt idx="5">
                  <c:v>45479</c:v>
                </c:pt>
                <c:pt idx="6">
                  <c:v>45510</c:v>
                </c:pt>
                <c:pt idx="7">
                  <c:v>45541</c:v>
                </c:pt>
                <c:pt idx="8">
                  <c:v>45571</c:v>
                </c:pt>
                <c:pt idx="9">
                  <c:v>45602</c:v>
                </c:pt>
                <c:pt idx="10">
                  <c:v>45632</c:v>
                </c:pt>
                <c:pt idx="11">
                  <c:v>45663</c:v>
                </c:pt>
                <c:pt idx="12">
                  <c:v>45694</c:v>
                </c:pt>
              </c:numCache>
            </c:numRef>
          </c:cat>
          <c:val>
            <c:numRef>
              <c:f>Statistiques!$D$27:$O$27</c:f>
              <c:numCache>
                <c:formatCode>_-* #\ ##0\ "DT"_-;\-* #\ ##0\ "DT"_-;_-* "-"??\ "DT"_-;_-@_-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BF5-DF45-8404-1DE4244107AF}"/>
            </c:ext>
          </c:extLst>
        </c:ser>
        <c:ser>
          <c:idx val="2"/>
          <c:order val="2"/>
          <c:tx>
            <c:strRef>
              <c:f>Statistiques!$A$30</c:f>
              <c:strCache>
                <c:ptCount val="1"/>
                <c:pt idx="0">
                  <c:v>Coût réel cumul</c:v>
                </c:pt>
              </c:strCache>
            </c:strRef>
          </c:tx>
          <c:spPr>
            <a:ln w="22225" cap="rnd">
              <a:solidFill>
                <a:srgbClr val="BA4608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rgbClr val="BA4608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f>Statistiques!$C$19:$O$19</c:f>
              <c:numCache>
                <c:formatCode>[$-40C]mmm\-yy;@</c:formatCode>
                <c:ptCount val="13"/>
                <c:pt idx="0">
                  <c:v>45328</c:v>
                </c:pt>
                <c:pt idx="1">
                  <c:v>45357</c:v>
                </c:pt>
                <c:pt idx="2">
                  <c:v>45388</c:v>
                </c:pt>
                <c:pt idx="3">
                  <c:v>45418</c:v>
                </c:pt>
                <c:pt idx="4">
                  <c:v>45449</c:v>
                </c:pt>
                <c:pt idx="5">
                  <c:v>45479</c:v>
                </c:pt>
                <c:pt idx="6">
                  <c:v>45510</c:v>
                </c:pt>
                <c:pt idx="7">
                  <c:v>45541</c:v>
                </c:pt>
                <c:pt idx="8">
                  <c:v>45571</c:v>
                </c:pt>
                <c:pt idx="9">
                  <c:v>45602</c:v>
                </c:pt>
                <c:pt idx="10">
                  <c:v>45632</c:v>
                </c:pt>
                <c:pt idx="11">
                  <c:v>45663</c:v>
                </c:pt>
                <c:pt idx="12">
                  <c:v>45694</c:v>
                </c:pt>
              </c:numCache>
            </c:numRef>
          </c:cat>
          <c:val>
            <c:numRef>
              <c:f>Statistiques!$D$30:$O$30</c:f>
              <c:numCache>
                <c:formatCode>_-* #\ ##0\ "DT"_-;\-* #\ ##0\ "DT"_-;_-* "-"??\ "DT"_-;_-@_-</c:formatCode>
                <c:ptCount val="12"/>
                <c:pt idx="0">
                  <c:v>70702.302626144228</c:v>
                </c:pt>
                <c:pt idx="1">
                  <c:v>114946.78914649332</c:v>
                </c:pt>
                <c:pt idx="2">
                  <c:v>157206.5085205806</c:v>
                </c:pt>
                <c:pt idx="3">
                  <c:v>204677.46742479393</c:v>
                </c:pt>
                <c:pt idx="4">
                  <c:v>280353.70281361177</c:v>
                </c:pt>
                <c:pt idx="5">
                  <c:v>338992.44527237653</c:v>
                </c:pt>
                <c:pt idx="6">
                  <c:v>408571.12167925877</c:v>
                </c:pt>
                <c:pt idx="7">
                  <c:v>473238.97836937872</c:v>
                </c:pt>
                <c:pt idx="8">
                  <c:v>534254.85599705752</c:v>
                </c:pt>
                <c:pt idx="9">
                  <c:v>596261.16945137247</c:v>
                </c:pt>
                <c:pt idx="10">
                  <c:v>623333.50545137248</c:v>
                </c:pt>
                <c:pt idx="11">
                  <c:v>630886.0387847058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BF5-DF45-8404-1DE4244107AF}"/>
            </c:ext>
          </c:extLst>
        </c:ser>
        <c:ser>
          <c:idx val="3"/>
          <c:order val="3"/>
          <c:tx>
            <c:strRef>
              <c:f>Statistiques!$A$32</c:f>
              <c:strCache>
                <c:ptCount val="1"/>
                <c:pt idx="0">
                  <c:v>Coût prévisionnel EAC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f>Statistiques!$C$19:$O$19</c:f>
              <c:numCache>
                <c:formatCode>[$-40C]mmm\-yy;@</c:formatCode>
                <c:ptCount val="13"/>
                <c:pt idx="0">
                  <c:v>45328</c:v>
                </c:pt>
                <c:pt idx="1">
                  <c:v>45357</c:v>
                </c:pt>
                <c:pt idx="2">
                  <c:v>45388</c:v>
                </c:pt>
                <c:pt idx="3">
                  <c:v>45418</c:v>
                </c:pt>
                <c:pt idx="4">
                  <c:v>45449</c:v>
                </c:pt>
                <c:pt idx="5">
                  <c:v>45479</c:v>
                </c:pt>
                <c:pt idx="6">
                  <c:v>45510</c:v>
                </c:pt>
                <c:pt idx="7">
                  <c:v>45541</c:v>
                </c:pt>
                <c:pt idx="8">
                  <c:v>45571</c:v>
                </c:pt>
                <c:pt idx="9">
                  <c:v>45602</c:v>
                </c:pt>
                <c:pt idx="10">
                  <c:v>45632</c:v>
                </c:pt>
                <c:pt idx="11">
                  <c:v>45663</c:v>
                </c:pt>
                <c:pt idx="12">
                  <c:v>45694</c:v>
                </c:pt>
              </c:numCache>
            </c:numRef>
          </c:cat>
          <c:val>
            <c:numRef>
              <c:f>Statistiques!$D$32:$O$32</c:f>
              <c:numCache>
                <c:formatCode>_-* #\ ##0\ "DT"_-;\-* #\ ##0\ "DT"_-;_-* "-"??\ "DT"_-;_-@_-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BF5-DF45-8404-1DE4244107AF}"/>
            </c:ext>
          </c:extLst>
        </c:ser>
        <c:ser>
          <c:idx val="4"/>
          <c:order val="4"/>
          <c:tx>
            <c:strRef>
              <c:f>Statistiques!$A$31</c:f>
              <c:strCache>
                <c:ptCount val="1"/>
                <c:pt idx="0">
                  <c:v>Coût prévisionnel RAF ETC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dLbls>
            <c:delete val="1"/>
          </c:dLbls>
          <c:cat>
            <c:numRef>
              <c:f>Statistiques!$C$19:$O$19</c:f>
              <c:numCache>
                <c:formatCode>[$-40C]mmm\-yy;@</c:formatCode>
                <c:ptCount val="13"/>
                <c:pt idx="0">
                  <c:v>45328</c:v>
                </c:pt>
                <c:pt idx="1">
                  <c:v>45357</c:v>
                </c:pt>
                <c:pt idx="2">
                  <c:v>45388</c:v>
                </c:pt>
                <c:pt idx="3">
                  <c:v>45418</c:v>
                </c:pt>
                <c:pt idx="4">
                  <c:v>45449</c:v>
                </c:pt>
                <c:pt idx="5">
                  <c:v>45479</c:v>
                </c:pt>
                <c:pt idx="6">
                  <c:v>45510</c:v>
                </c:pt>
                <c:pt idx="7">
                  <c:v>45541</c:v>
                </c:pt>
                <c:pt idx="8">
                  <c:v>45571</c:v>
                </c:pt>
                <c:pt idx="9">
                  <c:v>45602</c:v>
                </c:pt>
                <c:pt idx="10">
                  <c:v>45632</c:v>
                </c:pt>
                <c:pt idx="11">
                  <c:v>45663</c:v>
                </c:pt>
                <c:pt idx="12">
                  <c:v>45694</c:v>
                </c:pt>
              </c:numCache>
            </c:numRef>
          </c:cat>
          <c:val>
            <c:numRef>
              <c:f>Statistiques!$C$31:$O$31</c:f>
              <c:numCache>
                <c:formatCode>_-* #\ ##0\ "DT"_-;\-* #\ ##0\ "DT"_-;_-* "-"??\ "DT"_-;_-@_-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D-46EA-AB4D-7CEC1AC5D4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1175535"/>
        <c:axId val="756657375"/>
      </c:lineChart>
      <c:dateAx>
        <c:axId val="1731175535"/>
        <c:scaling>
          <c:orientation val="minMax"/>
        </c:scaling>
        <c:delete val="0"/>
        <c:axPos val="b"/>
        <c:numFmt formatCode="[$-40C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56657375"/>
        <c:crosses val="autoZero"/>
        <c:auto val="1"/>
        <c:lblOffset val="100"/>
        <c:baseTimeUnit val="months"/>
      </c:dateAx>
      <c:valAx>
        <c:axId val="756657375"/>
        <c:scaling>
          <c:orientation val="minMax"/>
        </c:scaling>
        <c:delete val="0"/>
        <c:axPos val="l"/>
        <c:numFmt formatCode="_-* #\ ##0\ &quot;DT&quot;_-;\-* #\ ##0\ &quot;DT&quot;_-;_-* &quot;-&quot;??\ &quot;DT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73117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rgbClr val="0432FF"/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cap="all" spc="120" normalizeH="0" baseline="0">
                <a:solidFill>
                  <a:srgbClr val="0432FF"/>
                </a:solidFill>
              </a:rPr>
              <a:t>EVOLUTION ECHEANCE FACTURATION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2"/>
          <c:tx>
            <c:strRef>
              <c:f>Dashboard!$AA$33</c:f>
              <c:strCache>
                <c:ptCount val="1"/>
                <c:pt idx="0">
                  <c:v>Date initiale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Dashboard!$U$34:$U$41</c15:sqref>
                  </c15:fullRef>
                </c:ext>
              </c:extLst>
              <c:f>Dashboard!$U$34:$U$39</c:f>
              <c:strCache>
                <c:ptCount val="6"/>
                <c:pt idx="0">
                  <c:v>Facture 1</c:v>
                </c:pt>
                <c:pt idx="1">
                  <c:v>Facture 2</c:v>
                </c:pt>
                <c:pt idx="2">
                  <c:v>Facture 3</c:v>
                </c:pt>
                <c:pt idx="3">
                  <c:v>Facture 4</c:v>
                </c:pt>
                <c:pt idx="4">
                  <c:v>Facture 5</c:v>
                </c:pt>
                <c:pt idx="5">
                  <c:v>Facture 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Dashboard!$AA$34:$AA$41</c15:sqref>
                  </c15:fullRef>
                </c:ext>
              </c:extLst>
              <c:f>Dashboard!$AA$34:$AA$39</c:f>
              <c:numCache>
                <c:formatCode>m/d/yyyy</c:formatCode>
                <c:ptCount val="6"/>
                <c:pt idx="0">
                  <c:v>45367</c:v>
                </c:pt>
                <c:pt idx="1">
                  <c:v>45459</c:v>
                </c:pt>
                <c:pt idx="2">
                  <c:v>45520</c:v>
                </c:pt>
                <c:pt idx="3">
                  <c:v>45581</c:v>
                </c:pt>
                <c:pt idx="4">
                  <c:v>45642</c:v>
                </c:pt>
                <c:pt idx="5">
                  <c:v>45704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C-4609-8CE3-C6EF65583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582155839"/>
        <c:axId val="1582171199"/>
      </c:barChart>
      <c:lineChart>
        <c:grouping val="standard"/>
        <c:varyColors val="0"/>
        <c:ser>
          <c:idx val="0"/>
          <c:order val="0"/>
          <c:tx>
            <c:strRef>
              <c:f>Dashboard!$AB$33</c:f>
              <c:strCache>
                <c:ptCount val="1"/>
                <c:pt idx="0">
                  <c:v>Date prévisonnelle actualisée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Dashboard!$U$34:$U$41</c15:sqref>
                  </c15:fullRef>
                </c:ext>
              </c:extLst>
              <c:f>Dashboard!$U$34:$U$39</c:f>
              <c:strCache>
                <c:ptCount val="6"/>
                <c:pt idx="0">
                  <c:v>Facture 1</c:v>
                </c:pt>
                <c:pt idx="1">
                  <c:v>Facture 2</c:v>
                </c:pt>
                <c:pt idx="2">
                  <c:v>Facture 3</c:v>
                </c:pt>
                <c:pt idx="3">
                  <c:v>Facture 4</c:v>
                </c:pt>
                <c:pt idx="4">
                  <c:v>Facture 5</c:v>
                </c:pt>
                <c:pt idx="5">
                  <c:v>Facture 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Dashboard!$AB$34:$AB$41</c15:sqref>
                  </c15:fullRef>
                </c:ext>
              </c:extLst>
              <c:f>Dashboard!$AB$34:$AB$39</c:f>
              <c:numCache>
                <c:formatCode>m/d/yyyy</c:formatCode>
                <c:ptCount val="6"/>
                <c:pt idx="0">
                  <c:v>45367</c:v>
                </c:pt>
                <c:pt idx="1">
                  <c:v>45459</c:v>
                </c:pt>
                <c:pt idx="2">
                  <c:v>45565</c:v>
                </c:pt>
                <c:pt idx="3">
                  <c:v>45590</c:v>
                </c:pt>
                <c:pt idx="4">
                  <c:v>45646</c:v>
                </c:pt>
                <c:pt idx="5">
                  <c:v>45763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BF5-DF45-8404-1DE4244107AF}"/>
            </c:ext>
          </c:extLst>
        </c:ser>
        <c:ser>
          <c:idx val="2"/>
          <c:order val="1"/>
          <c:tx>
            <c:strRef>
              <c:f>Dashboard!$AC$33</c:f>
              <c:strCache>
                <c:ptCount val="1"/>
                <c:pt idx="0">
                  <c:v>Date réelle</c:v>
                </c:pt>
              </c:strCache>
            </c:strRef>
          </c:tx>
          <c:spPr>
            <a:ln w="158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1483619093649175E-2"/>
                  <c:y val="-9.4633651030836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5C-4609-8CE3-C6EF655836D4}"/>
                </c:ext>
              </c:extLst>
            </c:dLbl>
            <c:dLbl>
              <c:idx val="1"/>
              <c:layout>
                <c:manualLayout>
                  <c:x val="-7.6854523867061486E-2"/>
                  <c:y val="-5.67801906185016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5C-4609-8CE3-C6EF655836D4}"/>
                </c:ext>
              </c:extLst>
            </c:dLbl>
            <c:dLbl>
              <c:idx val="2"/>
              <c:layout>
                <c:manualLayout>
                  <c:x val="-5.6359984169178388E-2"/>
                  <c:y val="-4.41623704810569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5C-4609-8CE3-C6EF655836D4}"/>
                </c:ext>
              </c:extLst>
            </c:dLbl>
            <c:dLbl>
              <c:idx val="3"/>
              <c:layout>
                <c:manualLayout>
                  <c:x val="-5.6359984169178388E-2"/>
                  <c:y val="-6.93980107559465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5C-4609-8CE3-C6EF655836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Dashboard!$AA$34:$AA$41</c15:sqref>
                  </c15:fullRef>
                </c:ext>
              </c:extLst>
              <c:f>Dashboard!$AA$34:$AA$39</c:f>
              <c:numCache>
                <c:formatCode>m/d/yyyy</c:formatCode>
                <c:ptCount val="6"/>
                <c:pt idx="0">
                  <c:v>45367</c:v>
                </c:pt>
                <c:pt idx="1">
                  <c:v>45459</c:v>
                </c:pt>
                <c:pt idx="2">
                  <c:v>45520</c:v>
                </c:pt>
                <c:pt idx="3">
                  <c:v>45581</c:v>
                </c:pt>
                <c:pt idx="4">
                  <c:v>45642</c:v>
                </c:pt>
                <c:pt idx="5">
                  <c:v>45704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Dashboard!$AC$34:$AC$41</c15:sqref>
                  </c15:fullRef>
                </c:ext>
              </c:extLst>
              <c:f>Dashboard!$AC$34:$AC$39</c:f>
              <c:numCache>
                <c:formatCode>m/d/yyyy</c:formatCode>
                <c:ptCount val="6"/>
                <c:pt idx="0">
                  <c:v>45365</c:v>
                </c:pt>
                <c:pt idx="1">
                  <c:v>45496</c:v>
                </c:pt>
                <c:pt idx="2">
                  <c:v>45565</c:v>
                </c:pt>
                <c:pt idx="3">
                  <c:v>45593</c:v>
                </c:pt>
                <c:pt idx="4">
                  <c:v>45657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BF5-DF45-8404-1DE424410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1175535"/>
        <c:axId val="756657375"/>
      </c:lineChart>
      <c:catAx>
        <c:axId val="173117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56657375"/>
        <c:crosses val="autoZero"/>
        <c:auto val="1"/>
        <c:lblAlgn val="ctr"/>
        <c:lblOffset val="100"/>
        <c:noMultiLvlLbl val="1"/>
      </c:catAx>
      <c:valAx>
        <c:axId val="756657375"/>
        <c:scaling>
          <c:orientation val="minMax"/>
          <c:max val="46000"/>
          <c:min val="452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731175535"/>
        <c:crosses val="autoZero"/>
        <c:crossBetween val="between"/>
        <c:majorUnit val="100"/>
      </c:valAx>
      <c:valAx>
        <c:axId val="1582171199"/>
        <c:scaling>
          <c:orientation val="minMax"/>
        </c:scaling>
        <c:delete val="1"/>
        <c:axPos val="r"/>
        <c:numFmt formatCode="m/d/yyyy" sourceLinked="1"/>
        <c:majorTickMark val="none"/>
        <c:minorTickMark val="none"/>
        <c:tickLblPos val="nextTo"/>
        <c:crossAx val="1582155839"/>
        <c:crosses val="max"/>
        <c:crossBetween val="between"/>
      </c:valAx>
      <c:catAx>
        <c:axId val="1582155839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582171199"/>
        <c:crosses val="max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rgbClr val="0432FF"/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Dashboard!$X$45</c:f>
              <c:strCache>
                <c:ptCount val="1"/>
                <c:pt idx="0">
                  <c:v>Montant facturé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2">
                  <a:lumMod val="50000"/>
                  <a:lumOff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D2-48F3-973C-A8443830B42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4D2-48F3-973C-A8443830B42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D2-48F3-973C-A8443830B42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4D2-48F3-973C-A8443830B42C}"/>
              </c:ext>
            </c:extLst>
          </c:dPt>
          <c:dLbls>
            <c:dLbl>
              <c:idx val="0"/>
              <c:layout>
                <c:manualLayout>
                  <c:x val="2.4054581550192662E-3"/>
                  <c:y val="0.14553931316235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D2-48F3-973C-A8443830B42C}"/>
                </c:ext>
              </c:extLst>
            </c:dLbl>
            <c:dLbl>
              <c:idx val="1"/>
              <c:layout>
                <c:manualLayout>
                  <c:x val="9.6218326200771098E-3"/>
                  <c:y val="0.1394751751139234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4D2-48F3-973C-A8443830B42C}"/>
                </c:ext>
              </c:extLst>
            </c:dLbl>
            <c:dLbl>
              <c:idx val="2"/>
              <c:layout>
                <c:manualLayout>
                  <c:x val="-4.4099556733510867E-17"/>
                  <c:y val="-3.3352759266372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D2-48F3-973C-A8443830B42C}"/>
                </c:ext>
              </c:extLst>
            </c:dLbl>
            <c:dLbl>
              <c:idx val="3"/>
              <c:layout>
                <c:manualLayout>
                  <c:x val="6.0136453875481053E-3"/>
                  <c:y val="-3.6384828290588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4D2-48F3-973C-A8443830B42C}"/>
                </c:ext>
              </c:extLst>
            </c:dLbl>
            <c:dLbl>
              <c:idx val="4"/>
              <c:layout>
                <c:manualLayout>
                  <c:x val="4.8109163100385549E-3"/>
                  <c:y val="-3.9416897314804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D2-48F3-973C-A8443830B42C}"/>
                </c:ext>
              </c:extLst>
            </c:dLbl>
            <c:dLbl>
              <c:idx val="5"/>
              <c:layout>
                <c:manualLayout>
                  <c:x val="1.0824561697586747E-2"/>
                  <c:y val="-4.54810353632359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4D2-48F3-973C-A8443830B42C}"/>
                </c:ext>
              </c:extLst>
            </c:dLbl>
            <c:dLbl>
              <c:idx val="6"/>
              <c:layout>
                <c:manualLayout>
                  <c:x val="8.8199113467021734E-17"/>
                  <c:y val="7.8833794629608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4D2-48F3-973C-A8443830B4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Dashboard!$U$46:$V$53</c:f>
              <c:multiLvlStrCache>
                <c:ptCount val="8"/>
                <c:lvl>
                  <c:pt idx="0">
                    <c:v>2024-03-16</c:v>
                  </c:pt>
                  <c:pt idx="1">
                    <c:v>2024-06-16</c:v>
                  </c:pt>
                  <c:pt idx="2">
                    <c:v>2024-09-30</c:v>
                  </c:pt>
                  <c:pt idx="3">
                    <c:v>2024-10-25</c:v>
                  </c:pt>
                  <c:pt idx="4">
                    <c:v>2024-12-20</c:v>
                  </c:pt>
                  <c:pt idx="5">
                    <c:v>2025-02-16</c:v>
                  </c:pt>
                  <c:pt idx="6">
                    <c:v>2025-08-16</c:v>
                  </c:pt>
                  <c:pt idx="7">
                    <c:v>2026-02-16</c:v>
                  </c:pt>
                </c:lvl>
                <c:lvl>
                  <c:pt idx="0">
                    <c:v>Facture 1</c:v>
                  </c:pt>
                  <c:pt idx="1">
                    <c:v>Facture 2</c:v>
                  </c:pt>
                  <c:pt idx="2">
                    <c:v>Facture 3</c:v>
                  </c:pt>
                  <c:pt idx="3">
                    <c:v>Facture 4</c:v>
                  </c:pt>
                  <c:pt idx="4">
                    <c:v>Facture 5</c:v>
                  </c:pt>
                  <c:pt idx="5">
                    <c:v>Facture 6</c:v>
                  </c:pt>
                  <c:pt idx="6">
                    <c:v>Facture 7</c:v>
                  </c:pt>
                  <c:pt idx="7">
                    <c:v>Facture 8</c:v>
                  </c:pt>
                </c:lvl>
              </c:multiLvlStrCache>
            </c:multiLvlStrRef>
          </c:cat>
          <c:val>
            <c:numRef>
              <c:f>Dashboard!$X$46:$X$53</c:f>
              <c:numCache>
                <c:formatCode>_-* #\ ##0.00\ "DT"_-;\-* #\ ##0.00\ "DT"_-;_-* "-"??\ "DT"_-;_-@_-</c:formatCode>
                <c:ptCount val="8"/>
                <c:pt idx="0">
                  <c:v>118438</c:v>
                </c:pt>
                <c:pt idx="1">
                  <c:v>188981</c:v>
                </c:pt>
                <c:pt idx="2">
                  <c:v>190080</c:v>
                </c:pt>
                <c:pt idx="3">
                  <c:v>187791.34899999999</c:v>
                </c:pt>
                <c:pt idx="4">
                  <c:v>187430.48032000003</c:v>
                </c:pt>
                <c:pt idx="5">
                  <c:v>187430.48032000003</c:v>
                </c:pt>
                <c:pt idx="6">
                  <c:v>58572.025100000006</c:v>
                </c:pt>
                <c:pt idx="7">
                  <c:v>58572.025100000006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2-48F3-973C-A8443830B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1937679"/>
        <c:axId val="761943439"/>
      </c:barChart>
      <c:lineChart>
        <c:grouping val="stacked"/>
        <c:varyColors val="0"/>
        <c:ser>
          <c:idx val="0"/>
          <c:order val="0"/>
          <c:tx>
            <c:strRef>
              <c:f>Dashboard!$W$45</c:f>
              <c:strCache>
                <c:ptCount val="1"/>
                <c:pt idx="0">
                  <c:v>Montant prévu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Dashboard!$U$46:$V$53</c:f>
              <c:multiLvlStrCache>
                <c:ptCount val="8"/>
                <c:lvl>
                  <c:pt idx="0">
                    <c:v>2024-03-16</c:v>
                  </c:pt>
                  <c:pt idx="1">
                    <c:v>2024-06-16</c:v>
                  </c:pt>
                  <c:pt idx="2">
                    <c:v>2024-09-30</c:v>
                  </c:pt>
                  <c:pt idx="3">
                    <c:v>2024-10-25</c:v>
                  </c:pt>
                  <c:pt idx="4">
                    <c:v>2024-12-20</c:v>
                  </c:pt>
                  <c:pt idx="5">
                    <c:v>2025-02-16</c:v>
                  </c:pt>
                  <c:pt idx="6">
                    <c:v>2025-08-16</c:v>
                  </c:pt>
                  <c:pt idx="7">
                    <c:v>2026-02-16</c:v>
                  </c:pt>
                </c:lvl>
                <c:lvl>
                  <c:pt idx="0">
                    <c:v>Facture 1</c:v>
                  </c:pt>
                  <c:pt idx="1">
                    <c:v>Facture 2</c:v>
                  </c:pt>
                  <c:pt idx="2">
                    <c:v>Facture 3</c:v>
                  </c:pt>
                  <c:pt idx="3">
                    <c:v>Facture 4</c:v>
                  </c:pt>
                  <c:pt idx="4">
                    <c:v>Facture 5</c:v>
                  </c:pt>
                  <c:pt idx="5">
                    <c:v>Facture 6</c:v>
                  </c:pt>
                  <c:pt idx="6">
                    <c:v>Facture 7</c:v>
                  </c:pt>
                  <c:pt idx="7">
                    <c:v>Facture 8</c:v>
                  </c:pt>
                </c:lvl>
              </c:multiLvlStrCache>
            </c:multiLvlStrRef>
          </c:cat>
          <c:val>
            <c:numRef>
              <c:f>Dashboard!$W$46:$W$53</c:f>
              <c:numCache>
                <c:formatCode>_-* #\ ##0.00\ "DT"_-;\-* #\ ##0.00\ "DT"_-;_-* "-"??\ "DT"_-;_-@_-</c:formatCode>
                <c:ptCount val="8"/>
                <c:pt idx="0">
                  <c:v>117144.05020000001</c:v>
                </c:pt>
                <c:pt idx="1">
                  <c:v>187430.48032000003</c:v>
                </c:pt>
                <c:pt idx="2">
                  <c:v>187430.48032000003</c:v>
                </c:pt>
                <c:pt idx="3">
                  <c:v>187430.48032000003</c:v>
                </c:pt>
                <c:pt idx="4">
                  <c:v>187430.48032000003</c:v>
                </c:pt>
                <c:pt idx="5">
                  <c:v>187430.48032000003</c:v>
                </c:pt>
                <c:pt idx="6">
                  <c:v>58572.025100000006</c:v>
                </c:pt>
                <c:pt idx="7">
                  <c:v>58572.025100000006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D2-48F3-973C-A8443830B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937679"/>
        <c:axId val="761943439"/>
      </c:lineChart>
      <c:catAx>
        <c:axId val="76193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61943439"/>
        <c:crosses val="autoZero"/>
        <c:auto val="1"/>
        <c:lblAlgn val="ctr"/>
        <c:lblOffset val="100"/>
        <c:noMultiLvlLbl val="0"/>
      </c:catAx>
      <c:valAx>
        <c:axId val="76194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&quot;DT&quot;_-;\-* #\ ##0.00\ &quot;DT&quot;_-;_-* &quot;-&quot;??\ &quot;DT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76193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432FF"/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13" Type="http://schemas.openxmlformats.org/officeDocument/2006/relationships/image" Target="../media/image15.png"/><Relationship Id="rId18" Type="http://schemas.openxmlformats.org/officeDocument/2006/relationships/image" Target="../media/image17.png"/><Relationship Id="rId26" Type="http://schemas.openxmlformats.org/officeDocument/2006/relationships/chart" Target="../charts/chart6.xml"/><Relationship Id="rId3" Type="http://schemas.openxmlformats.org/officeDocument/2006/relationships/image" Target="../media/image5.png"/><Relationship Id="rId21" Type="http://schemas.openxmlformats.org/officeDocument/2006/relationships/image" Target="../media/image19.png"/><Relationship Id="rId7" Type="http://schemas.openxmlformats.org/officeDocument/2006/relationships/image" Target="../media/image9.png"/><Relationship Id="rId12" Type="http://schemas.openxmlformats.org/officeDocument/2006/relationships/image" Target="../media/image14.svg"/><Relationship Id="rId17" Type="http://schemas.openxmlformats.org/officeDocument/2006/relationships/chart" Target="../charts/chart3.xml"/><Relationship Id="rId25" Type="http://schemas.openxmlformats.org/officeDocument/2006/relationships/chart" Target="../charts/chart5.xml"/><Relationship Id="rId2" Type="http://schemas.openxmlformats.org/officeDocument/2006/relationships/image" Target="../media/image4.svg"/><Relationship Id="rId16" Type="http://schemas.openxmlformats.org/officeDocument/2006/relationships/chart" Target="../charts/chart2.xml"/><Relationship Id="rId20" Type="http://schemas.microsoft.com/office/2007/relationships/hdphoto" Target="../media/hdphoto1.wdp"/><Relationship Id="rId1" Type="http://schemas.openxmlformats.org/officeDocument/2006/relationships/image" Target="../media/image3.png"/><Relationship Id="rId6" Type="http://schemas.openxmlformats.org/officeDocument/2006/relationships/image" Target="../media/image8.svg"/><Relationship Id="rId11" Type="http://schemas.openxmlformats.org/officeDocument/2006/relationships/image" Target="../media/image13.png"/><Relationship Id="rId24" Type="http://schemas.openxmlformats.org/officeDocument/2006/relationships/chart" Target="../charts/chart4.xml"/><Relationship Id="rId5" Type="http://schemas.openxmlformats.org/officeDocument/2006/relationships/image" Target="../media/image7.png"/><Relationship Id="rId15" Type="http://schemas.openxmlformats.org/officeDocument/2006/relationships/chart" Target="../charts/chart1.xml"/><Relationship Id="rId23" Type="http://schemas.openxmlformats.org/officeDocument/2006/relationships/image" Target="../media/image21.svg"/><Relationship Id="rId10" Type="http://schemas.openxmlformats.org/officeDocument/2006/relationships/image" Target="../media/image12.svg"/><Relationship Id="rId19" Type="http://schemas.openxmlformats.org/officeDocument/2006/relationships/image" Target="../media/image18.png"/><Relationship Id="rId4" Type="http://schemas.openxmlformats.org/officeDocument/2006/relationships/image" Target="../media/image6.svg"/><Relationship Id="rId9" Type="http://schemas.openxmlformats.org/officeDocument/2006/relationships/image" Target="../media/image11.png"/><Relationship Id="rId14" Type="http://schemas.openxmlformats.org/officeDocument/2006/relationships/image" Target="../media/image16.svg"/><Relationship Id="rId22" Type="http://schemas.openxmlformats.org/officeDocument/2006/relationships/image" Target="../media/image20.png"/><Relationship Id="rId27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0</xdr:row>
      <xdr:rowOff>41414</xdr:rowOff>
    </xdr:from>
    <xdr:to>
      <xdr:col>0</xdr:col>
      <xdr:colOff>1068456</xdr:colOff>
      <xdr:row>2</xdr:row>
      <xdr:rowOff>121049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5" y="41414"/>
          <a:ext cx="1051891" cy="5749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317500</xdr:colOff>
      <xdr:row>5</xdr:row>
      <xdr:rowOff>190500</xdr:rowOff>
    </xdr:from>
    <xdr:to>
      <xdr:col>4</xdr:col>
      <xdr:colOff>1143000</xdr:colOff>
      <xdr:row>8</xdr:row>
      <xdr:rowOff>148972</xdr:rowOff>
    </xdr:to>
    <xdr:pic>
      <xdr:nvPicPr>
        <xdr:cNvPr id="2" name="Graphique 1" descr="Argent avec un remplissage uni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32150" y="1076325"/>
          <a:ext cx="825500" cy="825500"/>
        </a:xfrm>
        <a:prstGeom prst="rect">
          <a:avLst/>
        </a:prstGeom>
      </xdr:spPr>
    </xdr:pic>
    <xdr:clientData/>
  </xdr:twoCellAnchor>
  <xdr:twoCellAnchor editAs="oneCell">
    <xdr:from>
      <xdr:col>6</xdr:col>
      <xdr:colOff>330200</xdr:colOff>
      <xdr:row>6</xdr:row>
      <xdr:rowOff>12700</xdr:rowOff>
    </xdr:from>
    <xdr:to>
      <xdr:col>6</xdr:col>
      <xdr:colOff>1083310</xdr:colOff>
      <xdr:row>8</xdr:row>
      <xdr:rowOff>168910</xdr:rowOff>
    </xdr:to>
    <xdr:pic>
      <xdr:nvPicPr>
        <xdr:cNvPr id="3" name="Graphique 2" descr="Calendrier à feuilles avec un remplissage uni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149850" y="1136650"/>
          <a:ext cx="749300" cy="752475"/>
        </a:xfrm>
        <a:prstGeom prst="rect">
          <a:avLst/>
        </a:prstGeom>
      </xdr:spPr>
    </xdr:pic>
    <xdr:clientData/>
  </xdr:twoCellAnchor>
  <xdr:twoCellAnchor editAs="oneCell">
    <xdr:from>
      <xdr:col>8</xdr:col>
      <xdr:colOff>330200</xdr:colOff>
      <xdr:row>6</xdr:row>
      <xdr:rowOff>0</xdr:rowOff>
    </xdr:from>
    <xdr:to>
      <xdr:col>8</xdr:col>
      <xdr:colOff>1083310</xdr:colOff>
      <xdr:row>8</xdr:row>
      <xdr:rowOff>152400</xdr:rowOff>
    </xdr:to>
    <xdr:pic>
      <xdr:nvPicPr>
        <xdr:cNvPr id="4" name="Graphique 3" descr="Calendrier à feuilles avec un remplissage uni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826250" y="1123950"/>
          <a:ext cx="749300" cy="752475"/>
        </a:xfrm>
        <a:prstGeom prst="rect">
          <a:avLst/>
        </a:prstGeom>
      </xdr:spPr>
    </xdr:pic>
    <xdr:clientData/>
  </xdr:twoCellAnchor>
  <xdr:twoCellAnchor editAs="oneCell">
    <xdr:from>
      <xdr:col>4</xdr:col>
      <xdr:colOff>733136</xdr:colOff>
      <xdr:row>11</xdr:row>
      <xdr:rowOff>102756</xdr:rowOff>
    </xdr:from>
    <xdr:to>
      <xdr:col>4</xdr:col>
      <xdr:colOff>1008726</xdr:colOff>
      <xdr:row>12</xdr:row>
      <xdr:rowOff>93000</xdr:rowOff>
    </xdr:to>
    <xdr:pic>
      <xdr:nvPicPr>
        <xdr:cNvPr id="5" name="Graphique 4" descr="Sablier terminé avec un remplissage uni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873336" y="3061856"/>
          <a:ext cx="279400" cy="273424"/>
        </a:xfrm>
        <a:prstGeom prst="rect">
          <a:avLst/>
        </a:prstGeom>
      </xdr:spPr>
    </xdr:pic>
    <xdr:clientData/>
  </xdr:twoCellAnchor>
  <xdr:twoCellAnchor editAs="oneCell">
    <xdr:from>
      <xdr:col>4</xdr:col>
      <xdr:colOff>656936</xdr:colOff>
      <xdr:row>17</xdr:row>
      <xdr:rowOff>41565</xdr:rowOff>
    </xdr:from>
    <xdr:to>
      <xdr:col>4</xdr:col>
      <xdr:colOff>1084926</xdr:colOff>
      <xdr:row>18</xdr:row>
      <xdr:rowOff>134974</xdr:rowOff>
    </xdr:to>
    <xdr:pic>
      <xdr:nvPicPr>
        <xdr:cNvPr id="6" name="Graphique 5" descr="Camion avec un remplissage uni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797136" y="4740565"/>
          <a:ext cx="431800" cy="437573"/>
        </a:xfrm>
        <a:prstGeom prst="rect">
          <a:avLst/>
        </a:prstGeom>
      </xdr:spPr>
    </xdr:pic>
    <xdr:clientData/>
  </xdr:twoCellAnchor>
  <xdr:twoCellAnchor editAs="oneCell">
    <xdr:from>
      <xdr:col>4</xdr:col>
      <xdr:colOff>705429</xdr:colOff>
      <xdr:row>19</xdr:row>
      <xdr:rowOff>238600</xdr:rowOff>
    </xdr:from>
    <xdr:to>
      <xdr:col>4</xdr:col>
      <xdr:colOff>1044054</xdr:colOff>
      <xdr:row>21</xdr:row>
      <xdr:rowOff>2309</xdr:rowOff>
    </xdr:to>
    <xdr:pic>
      <xdr:nvPicPr>
        <xdr:cNvPr id="7" name="Graphique 6" descr="Paie avec un remplissage uni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845629" y="5559900"/>
          <a:ext cx="334815" cy="338673"/>
        </a:xfrm>
        <a:prstGeom prst="rect">
          <a:avLst/>
        </a:prstGeom>
      </xdr:spPr>
    </xdr:pic>
    <xdr:clientData/>
  </xdr:twoCellAnchor>
  <xdr:twoCellAnchor editAs="oneCell">
    <xdr:from>
      <xdr:col>10</xdr:col>
      <xdr:colOff>701984</xdr:colOff>
      <xdr:row>5</xdr:row>
      <xdr:rowOff>224217</xdr:rowOff>
    </xdr:from>
    <xdr:to>
      <xdr:col>11</xdr:col>
      <xdr:colOff>54857</xdr:colOff>
      <xdr:row>9</xdr:row>
      <xdr:rowOff>22850</xdr:rowOff>
    </xdr:to>
    <xdr:pic>
      <xdr:nvPicPr>
        <xdr:cNvPr id="8" name="Graphique 7" descr="Groupe d’hommes avec un remplissage uni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670922" y="1134571"/>
          <a:ext cx="932242" cy="898970"/>
        </a:xfrm>
        <a:prstGeom prst="rect">
          <a:avLst/>
        </a:prstGeom>
      </xdr:spPr>
    </xdr:pic>
    <xdr:clientData/>
  </xdr:twoCellAnchor>
  <xdr:twoCellAnchor editAs="oneCell">
    <xdr:from>
      <xdr:col>10</xdr:col>
      <xdr:colOff>706747</xdr:colOff>
      <xdr:row>21</xdr:row>
      <xdr:rowOff>69507</xdr:rowOff>
    </xdr:from>
    <xdr:to>
      <xdr:col>11</xdr:col>
      <xdr:colOff>38665</xdr:colOff>
      <xdr:row>23</xdr:row>
      <xdr:rowOff>251117</xdr:rowOff>
    </xdr:to>
    <xdr:pic>
      <xdr:nvPicPr>
        <xdr:cNvPr id="9" name="Graphique 8" descr="Banque avec un remplissage uni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0705111" y="6153962"/>
          <a:ext cx="923636" cy="928255"/>
        </a:xfrm>
        <a:prstGeom prst="rect">
          <a:avLst/>
        </a:prstGeom>
      </xdr:spPr>
    </xdr:pic>
    <xdr:clientData/>
  </xdr:twoCellAnchor>
  <xdr:twoCellAnchor editAs="absolute">
    <xdr:from>
      <xdr:col>24</xdr:col>
      <xdr:colOff>1887729</xdr:colOff>
      <xdr:row>5</xdr:row>
      <xdr:rowOff>1582</xdr:rowOff>
    </xdr:from>
    <xdr:to>
      <xdr:col>28</xdr:col>
      <xdr:colOff>402535</xdr:colOff>
      <xdr:row>16</xdr:row>
      <xdr:rowOff>130661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0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absolute">
    <xdr:from>
      <xdr:col>18</xdr:col>
      <xdr:colOff>2460026</xdr:colOff>
      <xdr:row>5</xdr:row>
      <xdr:rowOff>3458</xdr:rowOff>
    </xdr:from>
    <xdr:to>
      <xdr:col>22</xdr:col>
      <xdr:colOff>360821</xdr:colOff>
      <xdr:row>16</xdr:row>
      <xdr:rowOff>112884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00000000-0008-0000-0500-00000B000000}"/>
            </a:ext>
            <a:ext uri="{147F2762-F138-4A5C-976F-8EAC2B608ADB}">
              <a16:predDERef xmlns:a16="http://schemas.microsoft.com/office/drawing/2014/main" pred="{00000000-0008-0000-0000-000018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absolute">
    <xdr:from>
      <xdr:col>18</xdr:col>
      <xdr:colOff>2495953</xdr:colOff>
      <xdr:row>17</xdr:row>
      <xdr:rowOff>186785</xdr:rowOff>
    </xdr:from>
    <xdr:to>
      <xdr:col>22</xdr:col>
      <xdr:colOff>365537</xdr:colOff>
      <xdr:row>30</xdr:row>
      <xdr:rowOff>130310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500-00000C000000}"/>
            </a:ext>
            <a:ext uri="{147F2762-F138-4A5C-976F-8EAC2B608ADB}">
              <a16:predDERef xmlns:a16="http://schemas.microsoft.com/office/drawing/2014/main" pre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14</xdr:col>
      <xdr:colOff>669279</xdr:colOff>
      <xdr:row>6</xdr:row>
      <xdr:rowOff>137789</xdr:rowOff>
    </xdr:from>
    <xdr:to>
      <xdr:col>14</xdr:col>
      <xdr:colOff>1656755</xdr:colOff>
      <xdr:row>9</xdr:row>
      <xdr:rowOff>288403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duotone>
            <a:schemeClr val="accent4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57686" y="1284161"/>
          <a:ext cx="997001" cy="986105"/>
        </a:xfrm>
        <a:prstGeom prst="rect">
          <a:avLst/>
        </a:prstGeom>
      </xdr:spPr>
    </xdr:pic>
    <xdr:clientData/>
  </xdr:twoCellAnchor>
  <xdr:twoCellAnchor editAs="oneCell">
    <xdr:from>
      <xdr:col>14</xdr:col>
      <xdr:colOff>775485</xdr:colOff>
      <xdr:row>12</xdr:row>
      <xdr:rowOff>342626</xdr:rowOff>
    </xdr:from>
    <xdr:to>
      <xdr:col>14</xdr:col>
      <xdr:colOff>1603907</xdr:colOff>
      <xdr:row>15</xdr:row>
      <xdr:rowOff>247272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duotone>
            <a:schemeClr val="accent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3892" y="3624396"/>
          <a:ext cx="828422" cy="819368"/>
        </a:xfrm>
        <a:prstGeom prst="rect">
          <a:avLst/>
        </a:prstGeom>
      </xdr:spPr>
    </xdr:pic>
    <xdr:clientData/>
  </xdr:twoCellAnchor>
  <xdr:twoCellAnchor editAs="oneCell">
    <xdr:from>
      <xdr:col>14</xdr:col>
      <xdr:colOff>820442</xdr:colOff>
      <xdr:row>21</xdr:row>
      <xdr:rowOff>148444</xdr:rowOff>
    </xdr:from>
    <xdr:to>
      <xdr:col>14</xdr:col>
      <xdr:colOff>1617435</xdr:colOff>
      <xdr:row>23</xdr:row>
      <xdr:rowOff>210241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08849" y="6105081"/>
          <a:ext cx="810328" cy="801472"/>
        </a:xfrm>
        <a:prstGeom prst="rect">
          <a:avLst/>
        </a:prstGeom>
      </xdr:spPr>
    </xdr:pic>
    <xdr:clientData/>
  </xdr:twoCellAnchor>
  <xdr:twoCellAnchor editAs="oneCell">
    <xdr:from>
      <xdr:col>4</xdr:col>
      <xdr:colOff>614036</xdr:colOff>
      <xdr:row>13</xdr:row>
      <xdr:rowOff>190500</xdr:rowOff>
    </xdr:from>
    <xdr:to>
      <xdr:col>4</xdr:col>
      <xdr:colOff>1122112</xdr:colOff>
      <xdr:row>15</xdr:row>
      <xdr:rowOff>172386</xdr:rowOff>
    </xdr:to>
    <xdr:pic>
      <xdr:nvPicPr>
        <xdr:cNvPr id="16" name="Imag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754236" y="3771900"/>
          <a:ext cx="517601" cy="492410"/>
        </a:xfrm>
        <a:prstGeom prst="rect">
          <a:avLst/>
        </a:prstGeom>
      </xdr:spPr>
    </xdr:pic>
    <xdr:clientData/>
  </xdr:twoCellAnchor>
  <xdr:twoCellAnchor editAs="oneCell">
    <xdr:from>
      <xdr:col>4</xdr:col>
      <xdr:colOff>675986</xdr:colOff>
      <xdr:row>22</xdr:row>
      <xdr:rowOff>197428</xdr:rowOff>
    </xdr:from>
    <xdr:to>
      <xdr:col>4</xdr:col>
      <xdr:colOff>1069686</xdr:colOff>
      <xdr:row>23</xdr:row>
      <xdr:rowOff>206318</xdr:rowOff>
    </xdr:to>
    <xdr:pic>
      <xdr:nvPicPr>
        <xdr:cNvPr id="17" name="Graphique 16" descr="Calendrier mensuel avec un remplissage uni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4816186" y="6369628"/>
          <a:ext cx="393700" cy="393700"/>
        </a:xfrm>
        <a:prstGeom prst="rect">
          <a:avLst/>
        </a:prstGeom>
      </xdr:spPr>
    </xdr:pic>
    <xdr:clientData/>
  </xdr:twoCellAnchor>
  <xdr:twoCellAnchor editAs="absolute">
    <xdr:from>
      <xdr:col>22</xdr:col>
      <xdr:colOff>441401</xdr:colOff>
      <xdr:row>4</xdr:row>
      <xdr:rowOff>78673</xdr:rowOff>
    </xdr:from>
    <xdr:to>
      <xdr:col>24</xdr:col>
      <xdr:colOff>1731625</xdr:colOff>
      <xdr:row>16</xdr:row>
      <xdr:rowOff>98100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500-000012000000}"/>
            </a:ext>
            <a:ext uri="{147F2762-F138-4A5C-976F-8EAC2B608ADB}">
              <a16:predDERef xmlns:a16="http://schemas.microsoft.com/office/drawing/2014/main" pre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absolute">
    <xdr:from>
      <xdr:col>22</xdr:col>
      <xdr:colOff>496134</xdr:colOff>
      <xdr:row>17</xdr:row>
      <xdr:rowOff>209822</xdr:rowOff>
    </xdr:from>
    <xdr:to>
      <xdr:col>24</xdr:col>
      <xdr:colOff>1770257</xdr:colOff>
      <xdr:row>30</xdr:row>
      <xdr:rowOff>132392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500-000013000000}"/>
            </a:ext>
            <a:ext uri="{147F2762-F138-4A5C-976F-8EAC2B608ADB}">
              <a16:predDERef xmlns:a16="http://schemas.microsoft.com/office/drawing/2014/main" pre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absolute">
    <xdr:from>
      <xdr:col>25</xdr:col>
      <xdr:colOff>19675</xdr:colOff>
      <xdr:row>17</xdr:row>
      <xdr:rowOff>209822</xdr:rowOff>
    </xdr:from>
    <xdr:to>
      <xdr:col>28</xdr:col>
      <xdr:colOff>403681</xdr:colOff>
      <xdr:row>30</xdr:row>
      <xdr:rowOff>132392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500-000014000000}"/>
            </a:ext>
            <a:ext uri="{147F2762-F138-4A5C-976F-8EAC2B608ADB}">
              <a16:predDERef xmlns:a16="http://schemas.microsoft.com/office/drawing/2014/main" pre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24</xdr:col>
      <xdr:colOff>492124</xdr:colOff>
      <xdr:row>42</xdr:row>
      <xdr:rowOff>97690</xdr:rowOff>
    </xdr:from>
    <xdr:to>
      <xdr:col>30</xdr:col>
      <xdr:colOff>2210289</xdr:colOff>
      <xdr:row>57</xdr:row>
      <xdr:rowOff>61057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F473F1-CA70-48D7-9303-081334B65138}" name="Tableau5" displayName="Tableau5" ref="B6:T14" totalsRowShown="0" headerRowDxfId="52" dataDxfId="51" tableBorderDxfId="50">
  <autoFilter ref="B6:T14" xr:uid="{7EF473F1-CA70-48D7-9303-081334B65138}"/>
  <tableColumns count="19">
    <tableColumn id="1" xr3:uid="{77611ECF-7A6F-47A3-A6D6-69CFAAD1A84D}" name="N° échéance" dataDxfId="49"/>
    <tableColumn id="2" xr3:uid="{10BC3AA9-82C2-4FE3-82ED-F5F5B0AA4699}" name="Description" dataDxfId="48"/>
    <tableColumn id="3" xr3:uid="{7C3FE12A-71B0-47BD-885E-1A8EED797BE4}" name="%" dataDxfId="47"/>
    <tableColumn id="4" xr3:uid="{74B779A1-B04E-49C9-B4B9-CB978C57500D}" name="Devise" dataDxfId="46"/>
    <tableColumn id="5" xr3:uid="{305560BE-4F0A-422F-AA07-7CB2806B88C7}" name="Montant" dataDxfId="45"/>
    <tableColumn id="6" xr3:uid="{3F672F2D-F30F-441F-A8E2-C0B56BEF0899}" name="Date initiale" dataDxfId="44"/>
    <tableColumn id="7" xr3:uid="{619E4999-BF83-4CE8-B058-CECD397899DC}" name="Montant en TND" dataDxfId="43">
      <calculatedColumnFormula>F7*0.0051</calculatedColumnFormula>
    </tableColumn>
    <tableColumn id="8" xr3:uid="{8B56FD53-6EAB-479B-85AA-9506C241B0FE}" name="Reste à facturer en TND" dataDxfId="42">
      <calculatedColumnFormula>I6-H7</calculatedColumnFormula>
    </tableColumn>
    <tableColumn id="9" xr3:uid="{CCFE8C39-C221-4FB6-920E-21BABAC2383A}" name="Cumul facturation" dataDxfId="41"/>
    <tableColumn id="10" xr3:uid="{F0E941E8-6D37-4C73-982C-5747618D8E70}" name="Cumul facturation %" dataDxfId="40">
      <calculatedColumnFormula>J7/$I$3</calculatedColumnFormula>
    </tableColumn>
    <tableColumn id="11" xr3:uid="{0924B9CE-7DBA-43A5-815E-9B4536A164D8}" name="Reste à facturer %" dataDxfId="39">
      <calculatedColumnFormula>100%-K7</calculatedColumnFormula>
    </tableColumn>
    <tableColumn id="12" xr3:uid="{B951B5A7-9884-44C2-8603-47A640CF2A13}" name="Date prévisionnelle" dataDxfId="38"/>
    <tableColumn id="13" xr3:uid="{D65C4F66-9F79-44BA-B06D-BFB222ACCFC7}" name="Date réelle" dataDxfId="37"/>
    <tableColumn id="14" xr3:uid="{0EF5E0F0-C26C-40A5-9C7A-01523395C30D}" name="Statut" dataDxfId="36"/>
    <tableColumn id="15" xr3:uid="{890D7724-63AB-4181-BDCA-A35C129BA0E3}" name="Réglé_x000a_(si facturé) O/N" dataDxfId="35"/>
    <tableColumn id="16" xr3:uid="{8BBB7C17-757C-4F5D-9948-39937CF81278}" name="Montant payé (Si réglé)" dataDxfId="34"/>
    <tableColumn id="17" xr3:uid="{715A5D61-E95C-42BD-93EA-A731C7AE9B92}" name="Cumul payé" dataDxfId="33"/>
    <tableColumn id="18" xr3:uid="{9A316BC7-42E1-4B6E-B26C-FE3D1F75AB82}" name="Commentaires" dataDxfId="32"/>
    <tableColumn id="19" xr3:uid="{FB53614B-F500-43D2-BC48-84B7BC1E3E18}" name="Commentaires2" dataDxfId="3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030F6D-DA84-5448-BF6A-CDE7871B84E4}" name="Tableau1" displayName="Tableau1" ref="U33:AE41" totalsRowShown="0" headerRowDxfId="30" dataDxfId="28" headerRowBorderDxfId="29" tableBorderDxfId="27" totalsRowBorderDxfId="26">
  <autoFilter ref="U33:AE41" xr:uid="{40030F6D-DA84-5448-BF6A-CDE7871B84E4}"/>
  <tableColumns count="11">
    <tableColumn id="1" xr3:uid="{73552388-9C69-204B-853E-826CA9F83455}" name="N° de facture" dataDxfId="25"/>
    <tableColumn id="2" xr3:uid="{BC1345C4-BE07-E54E-B3D3-AACDFC13AA69}" name="Objet" dataDxfId="24"/>
    <tableColumn id="3" xr3:uid="{98374A9E-8487-8843-9E5B-C815E959BE21}" name="%" dataDxfId="23"/>
    <tableColumn id="4" xr3:uid="{4C6A1D7F-5255-6641-89FD-0118CCC27A7D}" name="Montant" dataDxfId="22"/>
    <tableColumn id="11" xr3:uid="{6BA45604-6D50-4D44-A53E-A4C03AC69CCA}" name="Reste à facturer en TND" dataDxfId="21"/>
    <tableColumn id="10" xr3:uid="{E6E39E3B-5C65-C441-8395-E1133CD1236A}" name="Emise (Oui/Non)" dataDxfId="20"/>
    <tableColumn id="5" xr3:uid="{5ECB7744-DFC5-F944-819A-17E59A947445}" name="Date initiale" dataDxfId="19"/>
    <tableColumn id="6" xr3:uid="{E77D0CB9-43CB-9E4A-98DF-828349458F9D}" name="Date prévisonnelle actualisée" dataDxfId="18"/>
    <tableColumn id="7" xr3:uid="{5AB80D50-F752-DD44-B1C5-12B9934BAAB3}" name="Date réelle" dataDxfId="17"/>
    <tableColumn id="8" xr3:uid="{C132E671-77CA-404E-A221-035BAB4280BE}" name="Dérive" dataDxfId="16">
      <calculatedColumnFormula>IF(ISBLANK(Tableau1[[#This Row],[Date réelle]]),IF(TODAY()&gt;AA34,AA34-TODAY()+1,0),Tableau1[[#This Row],[Date initiale]]-Tableau1[[#This Row],[Date réelle]]+1)</calculatedColumnFormula>
    </tableColumn>
    <tableColumn id="9" xr3:uid="{6E5F5DC0-FBC4-794F-95C9-0E656EDE979C}" name="Commentaires" dataDxfId="1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2FA15E-0AB5-455E-8B68-A3EABFEC1C4A}" name="Tableau35" displayName="Tableau35" ref="A4:D20" totalsRowShown="0" headerRowDxfId="14" dataDxfId="13">
  <autoFilter ref="A4:D20" xr:uid="{CE2FA15E-0AB5-455E-8B68-A3EABFEC1C4A}"/>
  <tableColumns count="4">
    <tableColumn id="1" xr3:uid="{3672A12B-499E-413C-AF83-71B6A3995337}" name="Indicateur" dataDxfId="12"/>
    <tableColumn id="4" xr3:uid="{1E20A148-7DA1-4920-92C1-D55D9281A111}" name="Unité" dataDxfId="11"/>
    <tableColumn id="2" xr3:uid="{8C319E20-EC20-46A5-AF0E-47D10E189007}" name="Signification " dataDxfId="10"/>
    <tableColumn id="3" xr3:uid="{59F675E9-3EC5-402B-84AB-2037E0E8A500}" name="Méthode de calcul/estima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8412-49B9-45EA-A77E-0EC62CCE36CE}">
  <sheetPr>
    <tabColor theme="0"/>
  </sheetPr>
  <dimension ref="A1:E35"/>
  <sheetViews>
    <sheetView showGridLines="0" zoomScale="115" zoomScaleNormal="115" workbookViewId="0">
      <selection activeCell="C15" sqref="C15"/>
    </sheetView>
  </sheetViews>
  <sheetFormatPr defaultColWidth="11.44140625" defaultRowHeight="14.4" x14ac:dyDescent="0.3"/>
  <cols>
    <col min="1" max="1" width="16.44140625" style="72" customWidth="1"/>
    <col min="2" max="2" width="8.109375" style="72" customWidth="1"/>
    <col min="3" max="3" width="35.109375" style="72" customWidth="1"/>
    <col min="4" max="4" width="11.44140625" style="72"/>
    <col min="5" max="5" width="22.44140625" style="72" customWidth="1"/>
    <col min="6" max="16384" width="11.44140625" style="72"/>
  </cols>
  <sheetData>
    <row r="1" spans="1:5" ht="19.5" customHeight="1" x14ac:dyDescent="0.3">
      <c r="A1" s="657"/>
      <c r="B1" s="659" t="s">
        <v>0</v>
      </c>
      <c r="C1" s="659"/>
      <c r="D1" s="659"/>
      <c r="E1" s="226" t="s">
        <v>1</v>
      </c>
    </row>
    <row r="2" spans="1:5" ht="19.5" customHeight="1" x14ac:dyDescent="0.3">
      <c r="A2" s="658"/>
      <c r="B2" s="660"/>
      <c r="C2" s="660"/>
      <c r="D2" s="660"/>
      <c r="E2" s="227" t="s">
        <v>2</v>
      </c>
    </row>
    <row r="3" spans="1:5" ht="22.5" customHeight="1" x14ac:dyDescent="0.3">
      <c r="A3" s="658"/>
      <c r="B3" s="660"/>
      <c r="C3" s="660"/>
      <c r="D3" s="660"/>
      <c r="E3" s="227" t="s">
        <v>3</v>
      </c>
    </row>
    <row r="4" spans="1:5" ht="18.75" customHeight="1" thickBot="1" x14ac:dyDescent="0.35"/>
    <row r="5" spans="1:5" ht="27.45" customHeight="1" thickBot="1" x14ac:dyDescent="0.35">
      <c r="A5" s="60" t="s">
        <v>4</v>
      </c>
    </row>
    <row r="6" spans="1:5" s="68" customFormat="1" ht="18" customHeight="1" x14ac:dyDescent="0.3"/>
    <row r="7" spans="1:5" s="68" customFormat="1" ht="15" customHeight="1" x14ac:dyDescent="0.3">
      <c r="A7" s="228" t="s">
        <v>5</v>
      </c>
      <c r="B7" s="661" t="s">
        <v>6</v>
      </c>
      <c r="C7" s="661"/>
      <c r="D7" s="661" t="s">
        <v>7</v>
      </c>
      <c r="E7" s="661"/>
    </row>
    <row r="8" spans="1:5" s="68" customFormat="1" ht="31.5" customHeight="1" x14ac:dyDescent="0.3">
      <c r="A8" s="229" t="s">
        <v>8</v>
      </c>
      <c r="B8" s="229" t="s">
        <v>9</v>
      </c>
      <c r="C8" s="229"/>
      <c r="D8" s="662" t="s">
        <v>10</v>
      </c>
      <c r="E8" s="662"/>
    </row>
    <row r="9" spans="1:5" s="68" customFormat="1" ht="33" customHeight="1" x14ac:dyDescent="0.3">
      <c r="A9" s="230" t="s">
        <v>11</v>
      </c>
      <c r="B9" s="663" t="s">
        <v>12</v>
      </c>
      <c r="C9" s="663"/>
      <c r="D9" s="664" t="s">
        <v>13</v>
      </c>
      <c r="E9" s="664"/>
    </row>
    <row r="10" spans="1:5" s="68" customFormat="1" ht="14.7" customHeight="1" x14ac:dyDescent="0.3">
      <c r="B10" s="231"/>
      <c r="C10" s="231"/>
    </row>
    <row r="11" spans="1:5" s="68" customFormat="1" ht="18" customHeight="1" x14ac:dyDescent="0.3">
      <c r="A11" s="232" t="s">
        <v>14</v>
      </c>
      <c r="B11" s="232" t="s">
        <v>15</v>
      </c>
      <c r="C11" s="654" t="s">
        <v>16</v>
      </c>
      <c r="D11" s="654"/>
      <c r="E11" s="654"/>
    </row>
    <row r="12" spans="1:5" s="68" customFormat="1" x14ac:dyDescent="0.3">
      <c r="A12" s="233">
        <v>45505</v>
      </c>
      <c r="B12" s="234">
        <v>1</v>
      </c>
      <c r="C12" s="655" t="s">
        <v>17</v>
      </c>
      <c r="D12" s="655"/>
      <c r="E12" s="655"/>
    </row>
    <row r="13" spans="1:5" s="68" customFormat="1" ht="15" customHeight="1" x14ac:dyDescent="0.3">
      <c r="A13" s="411">
        <v>45608</v>
      </c>
      <c r="B13" s="412">
        <v>2</v>
      </c>
      <c r="C13" s="656" t="s">
        <v>18</v>
      </c>
      <c r="D13" s="656"/>
      <c r="E13" s="656"/>
    </row>
    <row r="14" spans="1:5" s="68" customFormat="1" ht="14.7" customHeight="1" x14ac:dyDescent="0.3">
      <c r="A14" s="233">
        <v>45597</v>
      </c>
      <c r="B14" s="413">
        <v>3</v>
      </c>
      <c r="C14" s="653" t="s">
        <v>19</v>
      </c>
      <c r="D14" s="653"/>
      <c r="E14" s="653"/>
    </row>
    <row r="15" spans="1:5" s="68" customFormat="1" ht="27.45" customHeight="1" x14ac:dyDescent="0.3"/>
    <row r="16" spans="1:5" s="68" customFormat="1" ht="14.7" customHeight="1" x14ac:dyDescent="0.3"/>
    <row r="17" spans="1:2" s="68" customFormat="1" ht="14.7" customHeight="1" x14ac:dyDescent="0.3"/>
    <row r="18" spans="1:2" s="68" customFormat="1" ht="14.7" customHeight="1" x14ac:dyDescent="0.3"/>
    <row r="19" spans="1:2" s="68" customFormat="1" ht="14.7" customHeight="1" x14ac:dyDescent="0.3"/>
    <row r="20" spans="1:2" s="68" customFormat="1" ht="14.7" customHeight="1" x14ac:dyDescent="0.3"/>
    <row r="21" spans="1:2" s="68" customFormat="1" ht="14.7" customHeight="1" x14ac:dyDescent="0.3"/>
    <row r="22" spans="1:2" s="68" customFormat="1" ht="14.7" customHeight="1" x14ac:dyDescent="0.3"/>
    <row r="23" spans="1:2" s="68" customFormat="1" ht="14.7" customHeight="1" x14ac:dyDescent="0.3"/>
    <row r="24" spans="1:2" s="68" customFormat="1" ht="14.7" customHeight="1" x14ac:dyDescent="0.3"/>
    <row r="25" spans="1:2" s="68" customFormat="1" ht="14.7" customHeight="1" x14ac:dyDescent="0.3"/>
    <row r="26" spans="1:2" s="68" customFormat="1" ht="14.7" customHeight="1" x14ac:dyDescent="0.3">
      <c r="A26" s="191"/>
      <c r="B26" s="191"/>
    </row>
    <row r="27" spans="1:2" s="68" customFormat="1" ht="14.7" customHeight="1" x14ac:dyDescent="0.3">
      <c r="A27" s="191"/>
    </row>
    <row r="28" spans="1:2" s="68" customFormat="1" ht="14.7" customHeight="1" x14ac:dyDescent="0.3"/>
    <row r="29" spans="1:2" s="68" customFormat="1" ht="14.7" customHeight="1" x14ac:dyDescent="0.3"/>
    <row r="30" spans="1:2" s="68" customFormat="1" ht="14.7" customHeight="1" x14ac:dyDescent="0.3"/>
    <row r="31" spans="1:2" s="68" customFormat="1" ht="14.7" customHeight="1" x14ac:dyDescent="0.3"/>
    <row r="32" spans="1:2" s="68" customFormat="1" ht="14.7" customHeight="1" x14ac:dyDescent="0.3"/>
    <row r="33" s="68" customFormat="1" ht="14.7" customHeight="1" x14ac:dyDescent="0.3"/>
    <row r="34" s="68" customFormat="1" ht="14.7" customHeight="1" x14ac:dyDescent="0.3"/>
    <row r="35" s="68" customFormat="1" ht="14.7" customHeight="1" x14ac:dyDescent="0.3"/>
  </sheetData>
  <mergeCells count="11">
    <mergeCell ref="C14:E14"/>
    <mergeCell ref="C11:E11"/>
    <mergeCell ref="C12:E12"/>
    <mergeCell ref="C13:E13"/>
    <mergeCell ref="A1:A3"/>
    <mergeCell ref="B1:D3"/>
    <mergeCell ref="B7:C7"/>
    <mergeCell ref="D7:E7"/>
    <mergeCell ref="D8:E8"/>
    <mergeCell ref="B9:C9"/>
    <mergeCell ref="D9:E9"/>
  </mergeCells>
  <hyperlinks>
    <hyperlink ref="A5" location="Dashboard!A1" display="Tableau de bord" xr:uid="{9722206A-D67B-456B-8A7F-1B2FD575C19C}"/>
  </hyperlinks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82D6-38F2-479E-99B2-CAB65BCAD3AE}">
  <dimension ref="A1:D36"/>
  <sheetViews>
    <sheetView showGridLines="0" topLeftCell="A14" zoomScale="115" zoomScaleNormal="115" workbookViewId="0">
      <selection activeCell="B31" sqref="B31"/>
    </sheetView>
  </sheetViews>
  <sheetFormatPr defaultColWidth="11.44140625" defaultRowHeight="14.4" x14ac:dyDescent="0.3"/>
  <cols>
    <col min="1" max="1" width="49.44140625" style="3" customWidth="1"/>
    <col min="2" max="2" width="50.6640625" style="9" customWidth="1"/>
    <col min="3" max="3" width="16.109375" bestFit="1" customWidth="1"/>
    <col min="4" max="4" width="13.44140625" bestFit="1" customWidth="1"/>
    <col min="5" max="5" width="22" customWidth="1"/>
  </cols>
  <sheetData>
    <row r="1" spans="1:4" ht="27.45" customHeight="1" thickBot="1" x14ac:dyDescent="0.35">
      <c r="A1" s="666" t="s">
        <v>20</v>
      </c>
      <c r="B1" s="667"/>
      <c r="D1" s="30" t="s">
        <v>4</v>
      </c>
    </row>
    <row r="2" spans="1:4" s="6" customFormat="1" ht="18" customHeight="1" x14ac:dyDescent="0.3">
      <c r="A2" s="2" t="s">
        <v>21</v>
      </c>
      <c r="B2" s="67" t="s">
        <v>22</v>
      </c>
    </row>
    <row r="3" spans="1:4" s="6" customFormat="1" ht="18" customHeight="1" x14ac:dyDescent="0.3">
      <c r="A3" s="2" t="s">
        <v>23</v>
      </c>
      <c r="B3" s="67" t="s">
        <v>24</v>
      </c>
    </row>
    <row r="4" spans="1:4" s="6" customFormat="1" ht="34.5" customHeight="1" x14ac:dyDescent="0.3">
      <c r="A4" s="2" t="s">
        <v>25</v>
      </c>
      <c r="B4" s="67" t="s">
        <v>26</v>
      </c>
    </row>
    <row r="5" spans="1:4" s="6" customFormat="1" ht="49.95" customHeight="1" x14ac:dyDescent="0.3">
      <c r="A5" s="2" t="s">
        <v>27</v>
      </c>
      <c r="B5" s="67" t="s">
        <v>28</v>
      </c>
    </row>
    <row r="6" spans="1:4" s="6" customFormat="1" ht="43.2" x14ac:dyDescent="0.3">
      <c r="A6" s="2" t="s">
        <v>29</v>
      </c>
      <c r="B6" s="67" t="s">
        <v>28</v>
      </c>
    </row>
    <row r="7" spans="1:4" s="6" customFormat="1" ht="14.7" customHeight="1" x14ac:dyDescent="0.3">
      <c r="A7" s="2" t="s">
        <v>30</v>
      </c>
      <c r="B7" s="67" t="s">
        <v>31</v>
      </c>
    </row>
    <row r="8" spans="1:4" s="6" customFormat="1" ht="14.7" customHeight="1" x14ac:dyDescent="0.3">
      <c r="A8" s="2" t="s">
        <v>32</v>
      </c>
      <c r="B8" s="67" t="s">
        <v>33</v>
      </c>
    </row>
    <row r="9" spans="1:4" s="6" customFormat="1" ht="14.7" customHeight="1" x14ac:dyDescent="0.3">
      <c r="A9" s="2" t="s">
        <v>34</v>
      </c>
      <c r="B9" s="67" t="s">
        <v>35</v>
      </c>
    </row>
    <row r="10" spans="1:4" s="6" customFormat="1" ht="14.7" customHeight="1" x14ac:dyDescent="0.3">
      <c r="A10" s="2" t="s">
        <v>36</v>
      </c>
      <c r="B10" s="67" t="s">
        <v>37</v>
      </c>
    </row>
    <row r="11" spans="1:4" s="6" customFormat="1" ht="14.7" customHeight="1" x14ac:dyDescent="0.3">
      <c r="A11" s="2" t="s">
        <v>38</v>
      </c>
      <c r="B11" s="282">
        <v>45328</v>
      </c>
    </row>
    <row r="12" spans="1:4" s="6" customFormat="1" ht="14.7" customHeight="1" x14ac:dyDescent="0.3">
      <c r="A12" s="2" t="s">
        <v>39</v>
      </c>
      <c r="B12" s="282">
        <v>46058</v>
      </c>
    </row>
    <row r="13" spans="1:4" s="6" customFormat="1" ht="14.7" customHeight="1" x14ac:dyDescent="0.3">
      <c r="A13" s="2" t="s">
        <v>40</v>
      </c>
      <c r="B13" s="67">
        <v>731</v>
      </c>
    </row>
    <row r="14" spans="1:4" s="6" customFormat="1" ht="14.7" customHeight="1" x14ac:dyDescent="0.3">
      <c r="A14" s="7"/>
      <c r="B14" s="68"/>
    </row>
    <row r="15" spans="1:4" ht="27.45" customHeight="1" x14ac:dyDescent="0.3">
      <c r="A15" s="665" t="s">
        <v>41</v>
      </c>
      <c r="B15" s="665"/>
    </row>
    <row r="16" spans="1:4" s="6" customFormat="1" ht="14.7" customHeight="1" x14ac:dyDescent="0.3">
      <c r="A16" s="4" t="s">
        <v>42</v>
      </c>
      <c r="B16" s="67" t="s">
        <v>43</v>
      </c>
    </row>
    <row r="17" spans="1:4" s="6" customFormat="1" ht="14.7" customHeight="1" x14ac:dyDescent="0.3">
      <c r="A17" s="4" t="s">
        <v>44</v>
      </c>
      <c r="B17" s="82">
        <v>248992444</v>
      </c>
    </row>
    <row r="18" spans="1:4" s="6" customFormat="1" ht="14.7" customHeight="1" x14ac:dyDescent="0.3">
      <c r="A18" s="4" t="s">
        <v>45</v>
      </c>
      <c r="B18" s="67">
        <v>0</v>
      </c>
    </row>
    <row r="19" spans="1:4" s="6" customFormat="1" ht="14.7" customHeight="1" x14ac:dyDescent="0.3">
      <c r="A19" s="4" t="s">
        <v>46</v>
      </c>
      <c r="B19" s="67" t="s">
        <v>47</v>
      </c>
    </row>
    <row r="20" spans="1:4" s="6" customFormat="1" ht="14.7" customHeight="1" x14ac:dyDescent="0.3">
      <c r="A20" s="4" t="s">
        <v>48</v>
      </c>
      <c r="B20" s="67">
        <v>0</v>
      </c>
    </row>
    <row r="21" spans="1:4" s="6" customFormat="1" ht="14.7" customHeight="1" x14ac:dyDescent="0.3">
      <c r="A21" s="4" t="s">
        <v>49</v>
      </c>
      <c r="B21" s="67">
        <v>0</v>
      </c>
    </row>
    <row r="22" spans="1:4" s="6" customFormat="1" ht="14.7" customHeight="1" x14ac:dyDescent="0.3">
      <c r="A22" s="4" t="s">
        <v>50</v>
      </c>
      <c r="B22" s="82">
        <v>248992444</v>
      </c>
    </row>
    <row r="23" spans="1:4" s="6" customFormat="1" ht="14.7" customHeight="1" x14ac:dyDescent="0.3">
      <c r="A23" s="4" t="s">
        <v>51</v>
      </c>
      <c r="B23" s="69">
        <v>1269861.4643999999</v>
      </c>
      <c r="D23" s="607"/>
    </row>
    <row r="24" spans="1:4" s="6" customFormat="1" ht="14.7" customHeight="1" x14ac:dyDescent="0.3">
      <c r="A24" s="515" t="s">
        <v>52</v>
      </c>
      <c r="B24" s="514" t="e">
        <f>#REF!</f>
        <v>#REF!</v>
      </c>
    </row>
    <row r="25" spans="1:4" s="6" customFormat="1" ht="14.7" customHeight="1" x14ac:dyDescent="0.3">
      <c r="A25" s="4" t="s">
        <v>53</v>
      </c>
      <c r="B25" s="67">
        <v>0</v>
      </c>
    </row>
    <row r="26" spans="1:4" s="6" customFormat="1" ht="14.7" customHeight="1" x14ac:dyDescent="0.3">
      <c r="A26" s="4" t="s">
        <v>54</v>
      </c>
      <c r="B26" s="423">
        <v>1269861.4643999999</v>
      </c>
      <c r="C26" s="83"/>
      <c r="D26" s="83"/>
    </row>
    <row r="27" spans="1:4" s="6" customFormat="1" ht="14.7" customHeight="1" x14ac:dyDescent="0.3">
      <c r="A27" s="4" t="s">
        <v>55</v>
      </c>
      <c r="B27" s="69">
        <f>B26*5%</f>
        <v>63493.073219999998</v>
      </c>
      <c r="C27" s="83"/>
    </row>
    <row r="28" spans="1:4" s="6" customFormat="1" ht="14.7" customHeight="1" x14ac:dyDescent="0.3">
      <c r="A28" s="4" t="s">
        <v>56</v>
      </c>
      <c r="B28" s="67">
        <v>0</v>
      </c>
    </row>
    <row r="29" spans="1:4" s="6" customFormat="1" ht="14.7" customHeight="1" x14ac:dyDescent="0.3">
      <c r="A29" s="4" t="s">
        <v>57</v>
      </c>
      <c r="B29" s="69" t="e">
        <f>#REF!</f>
        <v>#REF!</v>
      </c>
    </row>
    <row r="30" spans="1:4" s="6" customFormat="1" ht="14.7" customHeight="1" x14ac:dyDescent="0.3">
      <c r="A30" s="4" t="s">
        <v>58</v>
      </c>
      <c r="B30" s="70" t="e">
        <f>B31/B26</f>
        <v>#VALUE!</v>
      </c>
    </row>
    <row r="31" spans="1:4" s="6" customFormat="1" ht="14.7" customHeight="1" x14ac:dyDescent="0.3">
      <c r="A31" s="4" t="s">
        <v>59</v>
      </c>
      <c r="B31" s="71" t="s">
        <v>591</v>
      </c>
    </row>
    <row r="32" spans="1:4" s="6" customFormat="1" ht="14.7" customHeight="1" x14ac:dyDescent="0.3">
      <c r="A32" s="4" t="s">
        <v>60</v>
      </c>
      <c r="B32" s="67">
        <v>1717</v>
      </c>
    </row>
    <row r="33" spans="1:2" s="6" customFormat="1" ht="14.7" customHeight="1" x14ac:dyDescent="0.3">
      <c r="A33" s="4" t="s">
        <v>61</v>
      </c>
      <c r="B33" s="67">
        <v>1717</v>
      </c>
    </row>
    <row r="34" spans="1:2" s="6" customFormat="1" ht="14.7" customHeight="1" x14ac:dyDescent="0.3">
      <c r="A34" s="4" t="s">
        <v>62</v>
      </c>
      <c r="B34" s="67">
        <v>0</v>
      </c>
    </row>
    <row r="35" spans="1:2" s="6" customFormat="1" ht="14.7" customHeight="1" x14ac:dyDescent="0.3">
      <c r="A35" s="4" t="s">
        <v>63</v>
      </c>
      <c r="B35" s="67">
        <v>75</v>
      </c>
    </row>
    <row r="36" spans="1:2" x14ac:dyDescent="0.3">
      <c r="B36" s="72"/>
    </row>
  </sheetData>
  <mergeCells count="2">
    <mergeCell ref="A15:B15"/>
    <mergeCell ref="A1:B1"/>
  </mergeCells>
  <dataValidations count="3">
    <dataValidation type="list" allowBlank="1" showInputMessage="1" showErrorMessage="1" sqref="B8" xr:uid="{C3E64078-4BFD-4E9E-8F7B-8E01FBC634C7}">
      <formula1>"Seul, En groupement"</formula1>
    </dataValidation>
    <dataValidation type="list" allowBlank="1" showInputMessage="1" showErrorMessage="1" sqref="B9" xr:uid="{934CCB12-F8FD-4E41-8654-24E287ADFE8C}">
      <formula1>"T&amp;M, FP"</formula1>
    </dataValidation>
    <dataValidation type="list" allowBlank="1" showInputMessage="1" showErrorMessage="1" sqref="B19" xr:uid="{13B8AC8D-FBCB-4683-8851-013448AE034B}">
      <formula1>"Oui, Non"</formula1>
    </dataValidation>
  </dataValidations>
  <hyperlinks>
    <hyperlink ref="D1" location="Dashboard!A1" display="Tableau de bord" xr:uid="{AFA58979-A6CD-524F-8256-19BB6DB5DBE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6F4E-93DE-4F4F-A61A-9A3EF0236409}">
  <dimension ref="A1:F32"/>
  <sheetViews>
    <sheetView topLeftCell="A9" zoomScaleNormal="100" workbookViewId="0">
      <selection activeCell="F7" sqref="F7"/>
    </sheetView>
  </sheetViews>
  <sheetFormatPr defaultColWidth="11.44140625" defaultRowHeight="14.4" x14ac:dyDescent="0.3"/>
  <cols>
    <col min="1" max="1" width="22.109375" bestFit="1" customWidth="1"/>
    <col min="2" max="2" width="17.109375" customWidth="1"/>
    <col min="3" max="3" width="13.109375" bestFit="1" customWidth="1"/>
    <col min="5" max="5" width="14.44140625" bestFit="1" customWidth="1"/>
  </cols>
  <sheetData>
    <row r="1" spans="1:5" ht="18" thickBot="1" x14ac:dyDescent="0.35">
      <c r="A1" s="31" t="s">
        <v>4</v>
      </c>
      <c r="B1" s="180"/>
    </row>
    <row r="3" spans="1:5" x14ac:dyDescent="0.3">
      <c r="A3" s="24"/>
      <c r="B3" s="24"/>
    </row>
    <row r="4" spans="1:5" x14ac:dyDescent="0.3">
      <c r="A4" s="24"/>
      <c r="B4" s="24"/>
    </row>
    <row r="5" spans="1:5" ht="28.8" x14ac:dyDescent="0.3">
      <c r="A5" s="181" t="s">
        <v>64</v>
      </c>
      <c r="B5" s="181" t="s">
        <v>65</v>
      </c>
      <c r="C5" s="181" t="s">
        <v>66</v>
      </c>
      <c r="D5" s="181" t="s">
        <v>67</v>
      </c>
      <c r="E5" s="181" t="s">
        <v>68</v>
      </c>
    </row>
    <row r="6" spans="1:5" x14ac:dyDescent="0.3">
      <c r="A6" s="424" t="s">
        <v>69</v>
      </c>
      <c r="B6" s="173">
        <v>1813.3333333333333</v>
      </c>
      <c r="C6" s="173">
        <f>(B6*1.7)/22</f>
        <v>140.12121212121212</v>
      </c>
      <c r="D6" s="173">
        <v>1813.3333333333333</v>
      </c>
      <c r="E6" s="173">
        <f>(D6*1.7)/20</f>
        <v>154.13333333333333</v>
      </c>
    </row>
    <row r="7" spans="1:5" x14ac:dyDescent="0.3">
      <c r="A7" s="424" t="s">
        <v>70</v>
      </c>
      <c r="B7" s="173">
        <v>3310.9090000000001</v>
      </c>
      <c r="C7" s="173">
        <f t="shared" ref="C7:C23" si="0">(B7*1.7)/22</f>
        <v>255.84296818181818</v>
      </c>
      <c r="D7" s="173">
        <v>3310.9090000000001</v>
      </c>
      <c r="E7" s="173">
        <f t="shared" ref="E7:E23" si="1">(D7*1.7)/20</f>
        <v>281.42726499999998</v>
      </c>
    </row>
    <row r="8" spans="1:5" x14ac:dyDescent="0.3">
      <c r="A8" s="424" t="s">
        <v>71</v>
      </c>
      <c r="B8" s="173">
        <v>3007.2955000000002</v>
      </c>
      <c r="C8" s="173">
        <f t="shared" si="0"/>
        <v>232.38192500000002</v>
      </c>
      <c r="D8" s="596">
        <v>3399.7741633333335</v>
      </c>
      <c r="E8" s="173">
        <f t="shared" si="1"/>
        <v>288.98080388333335</v>
      </c>
    </row>
    <row r="9" spans="1:5" x14ac:dyDescent="0.3">
      <c r="A9" s="424" t="s">
        <v>72</v>
      </c>
      <c r="B9" s="173">
        <v>7851.571477266667</v>
      </c>
      <c r="C9" s="173">
        <f>(B9*1.7)/22</f>
        <v>606.71234142515152</v>
      </c>
      <c r="D9" s="596">
        <v>8379.2124482999989</v>
      </c>
      <c r="E9" s="173">
        <f t="shared" si="1"/>
        <v>712.23305810549994</v>
      </c>
    </row>
    <row r="10" spans="1:5" x14ac:dyDescent="0.3">
      <c r="A10" s="424" t="s">
        <v>73</v>
      </c>
      <c r="B10" s="173">
        <v>6275.241</v>
      </c>
      <c r="C10" s="173">
        <f t="shared" si="0"/>
        <v>484.9049863636364</v>
      </c>
      <c r="D10" s="596">
        <v>7121.4332166666663</v>
      </c>
      <c r="E10" s="173">
        <f t="shared" si="1"/>
        <v>605.32182341666669</v>
      </c>
    </row>
    <row r="11" spans="1:5" x14ac:dyDescent="0.3">
      <c r="A11" s="424" t="s">
        <v>74</v>
      </c>
      <c r="B11" s="173">
        <v>5112.3322232</v>
      </c>
      <c r="C11" s="173">
        <f t="shared" si="0"/>
        <v>395.04385361090914</v>
      </c>
      <c r="D11" s="596">
        <v>5487.5059427000006</v>
      </c>
      <c r="E11" s="173">
        <f t="shared" si="1"/>
        <v>466.43800512950003</v>
      </c>
    </row>
    <row r="12" spans="1:5" x14ac:dyDescent="0.3">
      <c r="A12" s="424" t="s">
        <v>75</v>
      </c>
      <c r="B12" s="173">
        <v>2000</v>
      </c>
      <c r="C12" s="173">
        <f t="shared" si="0"/>
        <v>154.54545454545453</v>
      </c>
      <c r="D12" s="596">
        <v>3774.1470676333338</v>
      </c>
      <c r="E12" s="173">
        <f t="shared" si="1"/>
        <v>320.80250074883338</v>
      </c>
    </row>
    <row r="13" spans="1:5" x14ac:dyDescent="0.3">
      <c r="A13" s="424" t="s">
        <v>76</v>
      </c>
      <c r="B13" s="173">
        <v>1895</v>
      </c>
      <c r="C13" s="173">
        <f t="shared" si="0"/>
        <v>146.43181818181819</v>
      </c>
      <c r="D13" s="596">
        <v>3500.2622433333336</v>
      </c>
      <c r="E13" s="173">
        <f t="shared" si="1"/>
        <v>297.52229068333338</v>
      </c>
    </row>
    <row r="14" spans="1:5" x14ac:dyDescent="0.3">
      <c r="A14" s="424" t="s">
        <v>77</v>
      </c>
      <c r="B14" s="173">
        <v>2968.0610000000001</v>
      </c>
      <c r="C14" s="173">
        <f t="shared" si="0"/>
        <v>229.35016818181819</v>
      </c>
      <c r="D14" s="596">
        <v>4044.2672539</v>
      </c>
      <c r="E14" s="173">
        <f t="shared" si="1"/>
        <v>343.7627165815</v>
      </c>
    </row>
    <row r="15" spans="1:5" x14ac:dyDescent="0.3">
      <c r="A15" s="424" t="s">
        <v>78</v>
      </c>
      <c r="B15" s="173">
        <v>12540.871804566668</v>
      </c>
      <c r="C15" s="173">
        <f t="shared" si="0"/>
        <v>969.06736671651527</v>
      </c>
      <c r="D15" s="596">
        <v>11275.64697</v>
      </c>
      <c r="E15" s="173">
        <f t="shared" si="1"/>
        <v>958.42999244999987</v>
      </c>
    </row>
    <row r="16" spans="1:5" x14ac:dyDescent="0.3">
      <c r="A16" s="424" t="s">
        <v>79</v>
      </c>
      <c r="B16" s="173">
        <v>2063.5300000000002</v>
      </c>
      <c r="C16" s="173">
        <f t="shared" si="0"/>
        <v>159.45459090909091</v>
      </c>
      <c r="D16" s="596">
        <v>2180.267759833333</v>
      </c>
      <c r="E16" s="173">
        <f t="shared" si="1"/>
        <v>185.3227595858333</v>
      </c>
    </row>
    <row r="17" spans="1:6" x14ac:dyDescent="0.3">
      <c r="A17" s="424" t="s">
        <v>80</v>
      </c>
      <c r="B17" s="173">
        <v>9265.5223879999994</v>
      </c>
      <c r="C17" s="173">
        <f t="shared" si="0"/>
        <v>715.97218452727259</v>
      </c>
      <c r="D17" s="596">
        <v>10177.751002333334</v>
      </c>
      <c r="E17" s="173">
        <f t="shared" si="1"/>
        <v>865.10883519833328</v>
      </c>
    </row>
    <row r="18" spans="1:6" x14ac:dyDescent="0.3">
      <c r="A18" s="424" t="s">
        <v>81</v>
      </c>
      <c r="B18" s="173">
        <v>2312.7263333333331</v>
      </c>
      <c r="C18" s="173">
        <f t="shared" si="0"/>
        <v>178.71067121212118</v>
      </c>
      <c r="D18" s="173">
        <v>2312.7263333333331</v>
      </c>
      <c r="E18" s="173">
        <f t="shared" si="1"/>
        <v>196.58173833333331</v>
      </c>
    </row>
    <row r="19" spans="1:6" x14ac:dyDescent="0.3">
      <c r="A19" s="424" t="s">
        <v>82</v>
      </c>
      <c r="B19" s="173">
        <v>3511.6223333333332</v>
      </c>
      <c r="C19" s="173">
        <f t="shared" si="0"/>
        <v>271.3526348484848</v>
      </c>
      <c r="D19" s="596">
        <v>3930.8823199000003</v>
      </c>
      <c r="E19" s="173">
        <f t="shared" si="1"/>
        <v>334.12499719150003</v>
      </c>
    </row>
    <row r="20" spans="1:6" x14ac:dyDescent="0.3">
      <c r="A20" s="424" t="s">
        <v>83</v>
      </c>
      <c r="B20" s="173">
        <v>1840.7733333333333</v>
      </c>
      <c r="C20" s="173">
        <f t="shared" si="0"/>
        <v>142.24157575757576</v>
      </c>
      <c r="D20" s="596">
        <v>2018.95</v>
      </c>
      <c r="E20" s="173">
        <f t="shared" si="1"/>
        <v>171.61075</v>
      </c>
    </row>
    <row r="21" spans="1:6" x14ac:dyDescent="0.3">
      <c r="A21" s="424" t="s">
        <v>84</v>
      </c>
      <c r="B21" s="173">
        <v>1930</v>
      </c>
      <c r="C21" s="173">
        <f t="shared" si="0"/>
        <v>149.13636363636363</v>
      </c>
      <c r="D21" s="173">
        <v>1930</v>
      </c>
      <c r="E21" s="173">
        <f t="shared" si="1"/>
        <v>164.05</v>
      </c>
    </row>
    <row r="22" spans="1:6" x14ac:dyDescent="0.3">
      <c r="A22" s="424" t="s">
        <v>85</v>
      </c>
      <c r="B22" s="173">
        <v>13032.157999999999</v>
      </c>
      <c r="C22" s="173">
        <f t="shared" si="0"/>
        <v>1007.0303909090908</v>
      </c>
      <c r="D22" s="596">
        <v>11275.64697</v>
      </c>
      <c r="E22" s="173">
        <f t="shared" si="1"/>
        <v>958.42999244999987</v>
      </c>
    </row>
    <row r="23" spans="1:6" x14ac:dyDescent="0.3">
      <c r="A23" s="424" t="s">
        <v>86</v>
      </c>
      <c r="B23" s="173">
        <v>3776.3744699999997</v>
      </c>
      <c r="C23" s="173">
        <f t="shared" si="0"/>
        <v>291.81075449999997</v>
      </c>
      <c r="D23" s="173">
        <v>3776.3744699999997</v>
      </c>
      <c r="E23" s="173">
        <f t="shared" si="1"/>
        <v>320.99182994999995</v>
      </c>
    </row>
    <row r="24" spans="1:6" x14ac:dyDescent="0.3">
      <c r="A24" s="100" t="s">
        <v>87</v>
      </c>
      <c r="B24" s="182">
        <f>SUM(B6:B23)</f>
        <v>84507.322196366658</v>
      </c>
      <c r="C24" s="167">
        <f>SUM(C6:C23)</f>
        <v>6530.1112606283332</v>
      </c>
      <c r="D24" s="182">
        <f>SUM(D6:D23)</f>
        <v>89709.090494599994</v>
      </c>
      <c r="E24" s="167">
        <f>SUM(E6:E23)</f>
        <v>7625.2726920410005</v>
      </c>
    </row>
    <row r="29" spans="1:6" ht="43.2" x14ac:dyDescent="0.3">
      <c r="A29" s="524" t="s">
        <v>88</v>
      </c>
      <c r="B29" s="392" t="s">
        <v>89</v>
      </c>
      <c r="C29" s="392" t="s">
        <v>90</v>
      </c>
      <c r="E29" t="s">
        <v>91</v>
      </c>
    </row>
    <row r="30" spans="1:6" x14ac:dyDescent="0.3">
      <c r="A30" s="525" t="s">
        <v>92</v>
      </c>
      <c r="B30" s="571">
        <f>80*G24</f>
        <v>0</v>
      </c>
      <c r="C30" s="572">
        <v>0</v>
      </c>
      <c r="E30" s="526">
        <v>1</v>
      </c>
      <c r="F30" s="527">
        <v>3.4883000000000002</v>
      </c>
    </row>
    <row r="31" spans="1:6" x14ac:dyDescent="0.3">
      <c r="A31" s="525" t="s">
        <v>93</v>
      </c>
      <c r="B31" s="573"/>
      <c r="C31" s="573">
        <v>0</v>
      </c>
    </row>
    <row r="32" spans="1:6" x14ac:dyDescent="0.3">
      <c r="A32" s="525" t="s">
        <v>94</v>
      </c>
      <c r="B32" s="573"/>
      <c r="C32" s="573">
        <v>0</v>
      </c>
    </row>
  </sheetData>
  <hyperlinks>
    <hyperlink ref="A1" location="Dashboard!A1" display="Tableau de bord" xr:uid="{5864BC34-C9BC-4198-8B7E-B623F7A830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698B-D4E6-4FD9-9B8E-8729FC9BE319}">
  <sheetPr>
    <tabColor theme="8"/>
  </sheetPr>
  <dimension ref="A1:O30"/>
  <sheetViews>
    <sheetView workbookViewId="0">
      <selection activeCell="L15" sqref="L15"/>
    </sheetView>
  </sheetViews>
  <sheetFormatPr defaultColWidth="11.44140625" defaultRowHeight="14.4" x14ac:dyDescent="0.3"/>
  <cols>
    <col min="1" max="1" width="8.44140625" customWidth="1"/>
    <col min="2" max="2" width="14.44140625" bestFit="1" customWidth="1"/>
    <col min="3" max="3" width="17.88671875" bestFit="1" customWidth="1"/>
    <col min="4" max="4" width="19.109375" bestFit="1" customWidth="1"/>
    <col min="5" max="5" width="19.109375" customWidth="1"/>
    <col min="6" max="6" width="14.33203125" bestFit="1" customWidth="1"/>
    <col min="7" max="7" width="12.6640625" customWidth="1"/>
    <col min="8" max="8" width="18.6640625" bestFit="1" customWidth="1"/>
    <col min="9" max="9" width="13.109375" customWidth="1"/>
    <col min="10" max="10" width="14.6640625" customWidth="1"/>
    <col min="11" max="11" width="8.44140625" customWidth="1"/>
    <col min="12" max="12" width="17.6640625" bestFit="1" customWidth="1"/>
    <col min="13" max="13" width="15.109375" bestFit="1" customWidth="1"/>
    <col min="14" max="14" width="13.109375" bestFit="1" customWidth="1"/>
    <col min="15" max="15" width="16.6640625" bestFit="1" customWidth="1"/>
  </cols>
  <sheetData>
    <row r="1" spans="1:15" x14ac:dyDescent="0.3">
      <c r="L1" s="526">
        <v>80</v>
      </c>
    </row>
    <row r="2" spans="1:15" x14ac:dyDescent="0.3">
      <c r="A2" s="528" t="s">
        <v>100</v>
      </c>
      <c r="B2" s="529" t="s">
        <v>229</v>
      </c>
      <c r="C2" s="529" t="s">
        <v>230</v>
      </c>
      <c r="D2" s="529" t="s">
        <v>64</v>
      </c>
      <c r="E2" s="529" t="s">
        <v>231</v>
      </c>
      <c r="F2" s="529" t="s">
        <v>232</v>
      </c>
      <c r="G2" s="529" t="s">
        <v>233</v>
      </c>
      <c r="H2" s="529" t="s">
        <v>234</v>
      </c>
      <c r="I2" s="529" t="s">
        <v>107</v>
      </c>
      <c r="J2" s="529" t="s">
        <v>235</v>
      </c>
      <c r="K2" s="530" t="s">
        <v>236</v>
      </c>
      <c r="L2" s="530" t="s">
        <v>237</v>
      </c>
      <c r="M2" s="530" t="s">
        <v>91</v>
      </c>
      <c r="N2" s="530" t="s">
        <v>238</v>
      </c>
      <c r="O2" s="530" t="s">
        <v>239</v>
      </c>
    </row>
    <row r="3" spans="1:15" ht="15" thickBot="1" x14ac:dyDescent="0.35">
      <c r="A3" s="531">
        <v>1</v>
      </c>
      <c r="B3" s="532" t="s">
        <v>240</v>
      </c>
      <c r="C3" s="532" t="s">
        <v>241</v>
      </c>
      <c r="D3" s="532" t="s">
        <v>242</v>
      </c>
      <c r="E3" s="533">
        <v>45293</v>
      </c>
      <c r="F3" s="534">
        <v>45303</v>
      </c>
      <c r="G3" s="534">
        <v>45303</v>
      </c>
      <c r="H3" s="532" t="s">
        <v>242</v>
      </c>
      <c r="I3" s="550">
        <v>3755.5</v>
      </c>
      <c r="J3" s="569">
        <v>60</v>
      </c>
      <c r="K3" s="535">
        <v>7</v>
      </c>
      <c r="L3" s="535">
        <v>80</v>
      </c>
      <c r="M3" s="535">
        <v>3.3727999999999998</v>
      </c>
      <c r="N3" s="537">
        <f>K3*L3*M3</f>
        <v>1888.7679999999998</v>
      </c>
      <c r="O3" s="551">
        <f>N3+J3+I3</f>
        <v>5704.268</v>
      </c>
    </row>
    <row r="4" spans="1:15" ht="15" thickBot="1" x14ac:dyDescent="0.35">
      <c r="A4" s="531">
        <v>2</v>
      </c>
      <c r="B4" s="532" t="s">
        <v>240</v>
      </c>
      <c r="C4" s="532" t="s">
        <v>106</v>
      </c>
      <c r="D4" s="532" t="s">
        <v>243</v>
      </c>
      <c r="E4" s="538">
        <v>45628</v>
      </c>
      <c r="F4" s="534">
        <v>45303</v>
      </c>
      <c r="G4" s="534">
        <v>45303</v>
      </c>
      <c r="H4" s="532" t="s">
        <v>243</v>
      </c>
      <c r="I4" s="550">
        <v>3755.5</v>
      </c>
      <c r="J4" s="570">
        <v>60</v>
      </c>
      <c r="K4" s="535">
        <v>7</v>
      </c>
      <c r="L4" s="535">
        <v>80</v>
      </c>
      <c r="M4" s="535">
        <v>3.3727999999999998</v>
      </c>
      <c r="N4" s="537">
        <f>K4*L4*M4</f>
        <v>1888.7679999999998</v>
      </c>
      <c r="O4" s="617">
        <f>N4+J4+I4</f>
        <v>5704.268</v>
      </c>
    </row>
    <row r="5" spans="1:15" ht="15" thickBot="1" x14ac:dyDescent="0.35">
      <c r="A5" s="531">
        <v>3</v>
      </c>
      <c r="B5" s="532"/>
      <c r="C5" s="532"/>
      <c r="D5" s="536"/>
      <c r="E5" s="538"/>
      <c r="F5" s="534"/>
      <c r="G5" s="534"/>
      <c r="H5" s="532"/>
      <c r="I5" s="550"/>
      <c r="J5" s="570"/>
      <c r="K5" s="535"/>
      <c r="L5" s="535"/>
      <c r="M5" s="535"/>
      <c r="N5" s="537"/>
      <c r="O5" s="617"/>
    </row>
    <row r="6" spans="1:15" ht="15" thickBot="1" x14ac:dyDescent="0.35">
      <c r="A6" s="531">
        <v>4</v>
      </c>
      <c r="B6" s="532"/>
      <c r="C6" s="540"/>
      <c r="D6" s="536"/>
      <c r="E6" s="536"/>
      <c r="F6" s="536"/>
      <c r="G6" s="536"/>
      <c r="H6" s="536"/>
      <c r="I6" s="539"/>
      <c r="J6" s="536"/>
      <c r="K6" s="536"/>
      <c r="L6" s="536"/>
      <c r="M6" s="536"/>
      <c r="N6" s="536"/>
      <c r="O6" s="536"/>
    </row>
    <row r="7" spans="1:15" ht="15" thickBot="1" x14ac:dyDescent="0.35">
      <c r="A7" s="531">
        <v>5</v>
      </c>
      <c r="B7" s="532"/>
      <c r="C7" s="541"/>
      <c r="D7" s="536"/>
      <c r="E7" s="536"/>
      <c r="F7" s="536"/>
      <c r="G7" s="536"/>
      <c r="H7" s="536"/>
      <c r="I7" s="539"/>
      <c r="J7" s="536"/>
      <c r="K7" s="536"/>
      <c r="L7" s="536"/>
      <c r="M7" s="536"/>
      <c r="N7" s="536"/>
      <c r="O7" s="536"/>
    </row>
    <row r="8" spans="1:15" ht="15" thickBot="1" x14ac:dyDescent="0.35">
      <c r="A8" s="531">
        <v>6</v>
      </c>
      <c r="B8" s="532"/>
      <c r="C8" s="532"/>
      <c r="D8" s="536"/>
      <c r="E8" s="536"/>
      <c r="F8" s="536"/>
      <c r="G8" s="536"/>
      <c r="H8" s="536"/>
      <c r="I8" s="539"/>
      <c r="J8" s="536"/>
      <c r="K8" s="536"/>
      <c r="L8" s="536"/>
      <c r="M8" s="536"/>
      <c r="N8" s="536"/>
      <c r="O8" s="536"/>
    </row>
    <row r="9" spans="1:15" ht="15" thickBot="1" x14ac:dyDescent="0.35">
      <c r="A9" s="531">
        <v>7</v>
      </c>
      <c r="B9" s="532"/>
      <c r="C9" s="532"/>
      <c r="D9" s="536"/>
      <c r="E9" s="536"/>
      <c r="F9" s="536"/>
      <c r="G9" s="536"/>
      <c r="H9" s="536"/>
      <c r="I9" s="539"/>
      <c r="J9" s="536"/>
      <c r="K9" s="536"/>
      <c r="L9" s="536"/>
      <c r="M9" s="536"/>
      <c r="N9" s="536"/>
      <c r="O9" s="536"/>
    </row>
    <row r="10" spans="1:15" ht="15" thickBot="1" x14ac:dyDescent="0.35">
      <c r="A10" s="531">
        <v>8</v>
      </c>
      <c r="B10" s="532"/>
      <c r="C10" s="532"/>
      <c r="D10" s="536"/>
      <c r="E10" s="536"/>
      <c r="F10" s="536"/>
      <c r="G10" s="536"/>
      <c r="H10" s="536"/>
      <c r="I10" s="539"/>
      <c r="J10" s="536"/>
      <c r="K10" s="536"/>
      <c r="L10" s="536"/>
      <c r="M10" s="536"/>
      <c r="N10" s="536"/>
      <c r="O10" s="536"/>
    </row>
    <row r="11" spans="1:15" ht="15" thickBot="1" x14ac:dyDescent="0.35">
      <c r="A11" s="531">
        <v>9</v>
      </c>
      <c r="B11" s="532"/>
      <c r="C11" s="532"/>
      <c r="D11" s="536"/>
      <c r="E11" s="536"/>
      <c r="F11" s="536"/>
      <c r="G11" s="536"/>
      <c r="H11" s="536"/>
      <c r="I11" s="539"/>
      <c r="J11" s="536"/>
      <c r="K11" s="536"/>
      <c r="L11" s="536"/>
      <c r="M11" s="536"/>
      <c r="N11" s="536"/>
      <c r="O11" s="536"/>
    </row>
    <row r="12" spans="1:15" ht="15" thickBot="1" x14ac:dyDescent="0.35">
      <c r="A12" s="531">
        <v>10</v>
      </c>
      <c r="B12" s="532"/>
      <c r="C12" s="532"/>
      <c r="D12" s="536"/>
      <c r="E12" s="536"/>
      <c r="F12" s="536"/>
      <c r="G12" s="536"/>
      <c r="H12" s="536"/>
      <c r="I12" s="539"/>
      <c r="J12" s="536"/>
      <c r="K12" s="536"/>
      <c r="L12" s="536"/>
      <c r="M12" s="536"/>
      <c r="N12" s="536"/>
      <c r="O12" s="536"/>
    </row>
    <row r="13" spans="1:15" ht="15" thickBot="1" x14ac:dyDescent="0.35">
      <c r="A13" s="531">
        <v>11</v>
      </c>
      <c r="B13" s="532"/>
      <c r="C13" s="532"/>
      <c r="D13" s="536"/>
      <c r="E13" s="536"/>
      <c r="F13" s="536"/>
      <c r="G13" s="536"/>
      <c r="H13" s="536"/>
      <c r="I13" s="539"/>
      <c r="J13" s="536"/>
      <c r="K13" s="536"/>
      <c r="L13" s="536"/>
      <c r="M13" s="542"/>
      <c r="N13" s="542"/>
      <c r="O13" s="542"/>
    </row>
    <row r="14" spans="1:15" ht="15" thickBot="1" x14ac:dyDescent="0.35">
      <c r="H14" s="410"/>
      <c r="M14" s="543" t="s">
        <v>244</v>
      </c>
      <c r="N14" s="544">
        <f>SUM(N3:N13)</f>
        <v>3777.5359999999996</v>
      </c>
      <c r="O14" s="616">
        <f>SUM(O3:O13)</f>
        <v>11408.536</v>
      </c>
    </row>
    <row r="15" spans="1:15" ht="15" thickBot="1" x14ac:dyDescent="0.35">
      <c r="A15" s="668"/>
      <c r="B15" s="669"/>
      <c r="C15" s="669"/>
      <c r="D15" s="669"/>
      <c r="E15" s="669"/>
      <c r="F15" s="669"/>
      <c r="G15" s="669"/>
      <c r="H15" s="669"/>
      <c r="I15" s="669"/>
      <c r="J15" s="669"/>
      <c r="K15" s="545">
        <v>49</v>
      </c>
      <c r="L15" s="549">
        <v>19298228</v>
      </c>
      <c r="M15" s="546">
        <v>5.1000000000000004E-3</v>
      </c>
      <c r="N15" s="547"/>
      <c r="O15" s="548">
        <f>M15*L15</f>
        <v>98420.962800000008</v>
      </c>
    </row>
    <row r="19" spans="3:10" x14ac:dyDescent="0.3">
      <c r="I19" s="670" t="s">
        <v>245</v>
      </c>
      <c r="J19" s="670"/>
    </row>
    <row r="20" spans="3:10" x14ac:dyDescent="0.3">
      <c r="C20" s="652">
        <v>1073250</v>
      </c>
      <c r="D20">
        <v>1</v>
      </c>
      <c r="E20" s="652">
        <f>C20*D20</f>
        <v>1073250</v>
      </c>
      <c r="H20" s="174" t="s">
        <v>246</v>
      </c>
      <c r="I20" s="269" t="e">
        <f>1073250*#REF!</f>
        <v>#REF!</v>
      </c>
      <c r="J20" s="269" t="e">
        <f>I20*3</f>
        <v>#REF!</v>
      </c>
    </row>
    <row r="21" spans="3:10" x14ac:dyDescent="0.3">
      <c r="C21" s="652">
        <v>100170</v>
      </c>
      <c r="D21">
        <v>7</v>
      </c>
      <c r="E21" s="652">
        <f>C21*D21</f>
        <v>701190</v>
      </c>
      <c r="H21" s="174" t="s">
        <v>247</v>
      </c>
      <c r="I21" s="269" t="e">
        <f>151448*#REF!</f>
        <v>#REF!</v>
      </c>
      <c r="J21" s="269" t="e">
        <f>I21*21</f>
        <v>#REF!</v>
      </c>
    </row>
    <row r="22" spans="3:10" x14ac:dyDescent="0.3">
      <c r="C22" s="652">
        <v>11925</v>
      </c>
      <c r="D22">
        <v>7</v>
      </c>
      <c r="E22" s="652">
        <f t="shared" ref="E22:E24" si="0">C22*D22</f>
        <v>83475</v>
      </c>
      <c r="H22" s="174" t="s">
        <v>248</v>
      </c>
      <c r="I22" s="269" t="e">
        <f>71550*#REF!</f>
        <v>#REF!</v>
      </c>
      <c r="J22" s="269" t="e">
        <f>I22*7</f>
        <v>#REF!</v>
      </c>
    </row>
    <row r="23" spans="3:10" x14ac:dyDescent="0.3">
      <c r="C23" s="652">
        <v>39353</v>
      </c>
      <c r="D23">
        <v>7</v>
      </c>
      <c r="E23" s="652">
        <f t="shared" si="0"/>
        <v>275471</v>
      </c>
      <c r="H23" s="114" t="s">
        <v>249</v>
      </c>
      <c r="I23" s="174"/>
      <c r="J23" s="622" t="e">
        <f>SUM(J20:J22)</f>
        <v>#REF!</v>
      </c>
    </row>
    <row r="24" spans="3:10" x14ac:dyDescent="0.3">
      <c r="C24" s="652">
        <v>71550</v>
      </c>
      <c r="D24">
        <v>7</v>
      </c>
      <c r="E24" s="652">
        <f t="shared" si="0"/>
        <v>500850</v>
      </c>
      <c r="H24" s="114" t="s">
        <v>250</v>
      </c>
      <c r="I24" s="114"/>
      <c r="J24" s="622" t="e">
        <f>O15-J23</f>
        <v>#REF!</v>
      </c>
    </row>
    <row r="25" spans="3:10" x14ac:dyDescent="0.3">
      <c r="C25" s="652"/>
      <c r="E25" s="652"/>
    </row>
    <row r="26" spans="3:10" x14ac:dyDescent="0.3">
      <c r="E26" s="652"/>
    </row>
    <row r="27" spans="3:10" x14ac:dyDescent="0.3">
      <c r="E27" s="652">
        <f>SUM(E20:E24)</f>
        <v>2634236</v>
      </c>
      <c r="F27" s="109">
        <f>E27*0.0051</f>
        <v>13434.6036</v>
      </c>
    </row>
    <row r="28" spans="3:10" x14ac:dyDescent="0.3">
      <c r="E28" s="652"/>
    </row>
    <row r="29" spans="3:10" x14ac:dyDescent="0.3">
      <c r="E29" s="652">
        <v>1033200</v>
      </c>
      <c r="F29" s="109">
        <f>E29/7</f>
        <v>147600</v>
      </c>
    </row>
    <row r="30" spans="3:10" x14ac:dyDescent="0.3">
      <c r="E30" s="652"/>
    </row>
  </sheetData>
  <mergeCells count="2">
    <mergeCell ref="A15:J15"/>
    <mergeCell ref="I19:J19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2EBB5-A1AC-4743-ADB1-F7C74AC527FD}">
  <sheetPr>
    <tabColor rgb="FF92D050"/>
  </sheetPr>
  <dimension ref="A1:AA37"/>
  <sheetViews>
    <sheetView showGridLines="0" zoomScale="115" zoomScaleNormal="115" workbookViewId="0">
      <pane xSplit="1" topLeftCell="C1" activePane="topRight" state="frozen"/>
      <selection activeCell="D11" sqref="D11"/>
      <selection pane="topRight" activeCell="C28" sqref="C28"/>
    </sheetView>
  </sheetViews>
  <sheetFormatPr defaultColWidth="11.44140625" defaultRowHeight="14.4" x14ac:dyDescent="0.3"/>
  <cols>
    <col min="1" max="1" width="30.6640625" customWidth="1"/>
    <col min="2" max="2" width="11.44140625" style="10" customWidth="1"/>
    <col min="3" max="3" width="16.33203125" style="10" customWidth="1"/>
    <col min="4" max="4" width="15.44140625" style="10" customWidth="1"/>
    <col min="5" max="5" width="15.6640625" style="10" customWidth="1"/>
    <col min="6" max="6" width="17.33203125" style="10" bestFit="1" customWidth="1"/>
    <col min="7" max="9" width="14.44140625" style="10" bestFit="1" customWidth="1"/>
    <col min="10" max="13" width="14.109375" style="10" bestFit="1" customWidth="1"/>
    <col min="14" max="26" width="15.44140625" style="10" bestFit="1" customWidth="1"/>
    <col min="27" max="27" width="11.44140625" style="10"/>
  </cols>
  <sheetData>
    <row r="1" spans="1:27" ht="15" thickBot="1" x14ac:dyDescent="0.35"/>
    <row r="2" spans="1:27" ht="18" thickBot="1" x14ac:dyDescent="0.35">
      <c r="A2" s="31" t="s">
        <v>4</v>
      </c>
      <c r="F2" s="99"/>
    </row>
    <row r="3" spans="1:27" ht="21.75" customHeight="1" x14ac:dyDescent="0.3">
      <c r="C3" s="86" t="s">
        <v>251</v>
      </c>
      <c r="D3" s="85">
        <f>'Fiche identification'!B26</f>
        <v>1269861.4643999999</v>
      </c>
      <c r="F3" s="99"/>
    </row>
    <row r="4" spans="1:27" ht="27.6" x14ac:dyDescent="0.3">
      <c r="A4" s="24" t="s">
        <v>213</v>
      </c>
      <c r="C4" s="86" t="s">
        <v>252</v>
      </c>
      <c r="D4" s="84">
        <f>'Fiche identification'!B22</f>
        <v>248992444</v>
      </c>
      <c r="F4" s="99"/>
    </row>
    <row r="6" spans="1:27" x14ac:dyDescent="0.3">
      <c r="B6" s="98">
        <v>45323</v>
      </c>
      <c r="C6" s="98">
        <v>45352</v>
      </c>
      <c r="D6" s="98">
        <v>45383</v>
      </c>
      <c r="E6" s="98">
        <v>45413</v>
      </c>
      <c r="F6" s="98">
        <v>45444</v>
      </c>
      <c r="G6" s="98">
        <v>45474</v>
      </c>
      <c r="H6" s="98">
        <v>45505</v>
      </c>
      <c r="I6" s="98">
        <v>45536</v>
      </c>
      <c r="J6" s="98">
        <v>45566</v>
      </c>
      <c r="K6" s="98">
        <v>45597</v>
      </c>
      <c r="L6" s="98">
        <v>45627</v>
      </c>
      <c r="M6" s="98">
        <v>45658</v>
      </c>
      <c r="N6" s="98">
        <v>45689</v>
      </c>
      <c r="O6" s="98">
        <v>45717</v>
      </c>
      <c r="P6" s="98">
        <v>45748</v>
      </c>
      <c r="Q6" s="98">
        <v>45778</v>
      </c>
      <c r="R6" s="98">
        <v>45809</v>
      </c>
      <c r="S6" s="98">
        <v>45839</v>
      </c>
      <c r="T6" s="98">
        <v>45870</v>
      </c>
      <c r="U6" s="98">
        <v>45901</v>
      </c>
      <c r="V6" s="98">
        <v>45931</v>
      </c>
      <c r="W6" s="98">
        <v>45962</v>
      </c>
      <c r="X6" s="98">
        <v>45992</v>
      </c>
      <c r="Y6" s="98">
        <v>46023</v>
      </c>
      <c r="Z6" s="98">
        <v>46054</v>
      </c>
    </row>
    <row r="7" spans="1:27" x14ac:dyDescent="0.3">
      <c r="A7" s="26" t="s">
        <v>253</v>
      </c>
      <c r="B7" s="92"/>
      <c r="C7" s="28">
        <v>1</v>
      </c>
      <c r="D7" s="92"/>
      <c r="E7" s="92"/>
      <c r="F7" s="28">
        <v>2</v>
      </c>
      <c r="G7" s="92"/>
      <c r="H7" s="28">
        <v>3</v>
      </c>
      <c r="I7" s="92"/>
      <c r="J7" s="28">
        <v>4</v>
      </c>
      <c r="K7" s="92"/>
      <c r="L7" s="28">
        <v>5</v>
      </c>
      <c r="M7" s="92"/>
      <c r="N7" s="28">
        <v>6</v>
      </c>
      <c r="O7" s="92"/>
      <c r="P7" s="92"/>
      <c r="Q7" s="92"/>
      <c r="R7" s="92"/>
      <c r="S7" s="92"/>
      <c r="T7" s="28">
        <v>7</v>
      </c>
      <c r="U7" s="92"/>
      <c r="V7" s="92"/>
      <c r="W7" s="92"/>
      <c r="X7" s="92"/>
      <c r="Y7" s="92"/>
      <c r="Z7" s="28">
        <v>8</v>
      </c>
    </row>
    <row r="8" spans="1:27" ht="27.6" x14ac:dyDescent="0.3">
      <c r="A8" s="26" t="s">
        <v>97</v>
      </c>
      <c r="B8" s="93"/>
      <c r="C8" s="28" t="s">
        <v>156</v>
      </c>
      <c r="D8" s="92"/>
      <c r="E8" s="92"/>
      <c r="F8" s="28" t="s">
        <v>159</v>
      </c>
      <c r="G8" s="92"/>
      <c r="H8" s="28" t="s">
        <v>161</v>
      </c>
      <c r="I8" s="92"/>
      <c r="J8" s="28" t="s">
        <v>163</v>
      </c>
      <c r="K8" s="92"/>
      <c r="L8" s="28" t="s">
        <v>165</v>
      </c>
      <c r="M8" s="92"/>
      <c r="N8" s="28" t="s">
        <v>167</v>
      </c>
      <c r="O8" s="92"/>
      <c r="P8" s="92"/>
      <c r="Q8" s="92"/>
      <c r="R8" s="92"/>
      <c r="S8" s="92"/>
      <c r="T8" s="28" t="s">
        <v>169</v>
      </c>
      <c r="U8" s="92"/>
      <c r="V8" s="92"/>
      <c r="W8" s="92"/>
      <c r="X8" s="92"/>
      <c r="Y8" s="92"/>
      <c r="Z8" s="28" t="s">
        <v>171</v>
      </c>
    </row>
    <row r="9" spans="1:27" x14ac:dyDescent="0.3">
      <c r="A9" s="26" t="s">
        <v>103</v>
      </c>
      <c r="B9" s="93"/>
      <c r="C9" s="87">
        <v>0.1</v>
      </c>
      <c r="D9" s="93"/>
      <c r="E9" s="94"/>
      <c r="F9" s="87">
        <v>0.16</v>
      </c>
      <c r="G9" s="94"/>
      <c r="H9" s="87">
        <v>0.16</v>
      </c>
      <c r="I9" s="94"/>
      <c r="J9" s="87">
        <v>0.16</v>
      </c>
      <c r="K9" s="94"/>
      <c r="L9" s="87">
        <v>0.16</v>
      </c>
      <c r="M9" s="94"/>
      <c r="N9" s="87"/>
      <c r="O9" s="94"/>
      <c r="P9" s="94"/>
      <c r="Q9" s="94"/>
      <c r="R9" s="94"/>
      <c r="S9" s="94"/>
      <c r="T9" s="87">
        <v>0.05</v>
      </c>
      <c r="U9" s="94"/>
      <c r="V9" s="94"/>
      <c r="W9" s="94"/>
      <c r="X9" s="94"/>
      <c r="Y9" s="94"/>
      <c r="Z9" s="87">
        <v>0.05</v>
      </c>
    </row>
    <row r="10" spans="1:27" x14ac:dyDescent="0.3">
      <c r="A10" s="26" t="s">
        <v>254</v>
      </c>
      <c r="B10" s="92"/>
      <c r="C10" s="28"/>
      <c r="D10" s="92"/>
      <c r="E10" s="92"/>
      <c r="F10" s="28"/>
      <c r="G10" s="92"/>
      <c r="H10" s="28"/>
      <c r="I10" s="92"/>
      <c r="J10" s="28"/>
      <c r="K10" s="92"/>
      <c r="L10" s="28"/>
      <c r="M10" s="92"/>
      <c r="N10" s="28"/>
      <c r="O10" s="92"/>
      <c r="P10" s="92"/>
      <c r="Q10" s="92"/>
      <c r="R10" s="92"/>
      <c r="S10" s="92"/>
      <c r="T10" s="28"/>
      <c r="U10" s="92"/>
      <c r="V10" s="92"/>
      <c r="W10" s="92"/>
      <c r="X10" s="92"/>
      <c r="Y10" s="92"/>
      <c r="Z10" s="28"/>
    </row>
    <row r="11" spans="1:27" x14ac:dyDescent="0.3">
      <c r="A11" s="26" t="s">
        <v>108</v>
      </c>
      <c r="B11" s="92"/>
      <c r="C11" s="28" t="s">
        <v>43</v>
      </c>
      <c r="D11" s="92"/>
      <c r="E11" s="92"/>
      <c r="F11" s="28" t="s">
        <v>43</v>
      </c>
      <c r="G11" s="92"/>
      <c r="H11" s="28" t="s">
        <v>43</v>
      </c>
      <c r="I11" s="92"/>
      <c r="J11" s="28" t="s">
        <v>43</v>
      </c>
      <c r="K11" s="92"/>
      <c r="L11" s="28" t="s">
        <v>43</v>
      </c>
      <c r="M11" s="92"/>
      <c r="N11" s="28" t="s">
        <v>43</v>
      </c>
      <c r="O11" s="92"/>
      <c r="P11" s="92"/>
      <c r="Q11" s="92"/>
      <c r="R11" s="92"/>
      <c r="S11" s="92"/>
      <c r="T11" s="28" t="s">
        <v>43</v>
      </c>
      <c r="U11" s="92"/>
      <c r="V11" s="92"/>
      <c r="W11" s="92"/>
      <c r="X11" s="92"/>
      <c r="Y11" s="92"/>
      <c r="Z11" s="28" t="s">
        <v>43</v>
      </c>
    </row>
    <row r="12" spans="1:27" x14ac:dyDescent="0.3">
      <c r="A12" s="26" t="s">
        <v>102</v>
      </c>
      <c r="B12" s="95"/>
      <c r="C12" s="88">
        <f>$D$4*C9</f>
        <v>24899244.400000002</v>
      </c>
      <c r="D12" s="95"/>
      <c r="E12" s="95"/>
      <c r="F12" s="88">
        <f>$D$4*F9</f>
        <v>39838791.039999999</v>
      </c>
      <c r="G12" s="95"/>
      <c r="H12" s="88">
        <f>$D$4*H9</f>
        <v>39838791.039999999</v>
      </c>
      <c r="I12" s="95"/>
      <c r="J12" s="88">
        <f>$D$4*J9</f>
        <v>39838791.039999999</v>
      </c>
      <c r="K12" s="95"/>
      <c r="L12" s="88">
        <f>$D$4*L9</f>
        <v>39838791.039999999</v>
      </c>
      <c r="M12" s="95"/>
      <c r="N12" s="88">
        <f>$D$4*N9</f>
        <v>0</v>
      </c>
      <c r="O12" s="95"/>
      <c r="P12" s="95"/>
      <c r="Q12" s="95"/>
      <c r="R12" s="95"/>
      <c r="S12" s="95"/>
      <c r="T12" s="88">
        <f>$D$4*T9</f>
        <v>12449622.200000001</v>
      </c>
      <c r="U12" s="95"/>
      <c r="V12" s="95"/>
      <c r="W12" s="95"/>
      <c r="X12" s="95"/>
      <c r="Y12" s="95"/>
      <c r="Z12" s="88">
        <f>$D$4*Z9</f>
        <v>12449622.200000001</v>
      </c>
    </row>
    <row r="13" spans="1:27" x14ac:dyDescent="0.3">
      <c r="A13" s="26" t="s">
        <v>255</v>
      </c>
      <c r="B13" s="96"/>
      <c r="C13" s="89">
        <f>$D$3*C9</f>
        <v>126986.14644</v>
      </c>
      <c r="D13" s="96"/>
      <c r="E13" s="96"/>
      <c r="F13" s="89">
        <f>$D$3*F9</f>
        <v>203177.83430399999</v>
      </c>
      <c r="G13" s="96"/>
      <c r="H13" s="89">
        <f>$D$3*H9</f>
        <v>203177.83430399999</v>
      </c>
      <c r="I13" s="96"/>
      <c r="J13" s="89">
        <f>$D$3*J9</f>
        <v>203177.83430399999</v>
      </c>
      <c r="K13" s="96"/>
      <c r="L13" s="89">
        <f>$D$3*L9</f>
        <v>203177.83430399999</v>
      </c>
      <c r="M13" s="96"/>
      <c r="N13" s="89">
        <f>$D$3*N9</f>
        <v>0</v>
      </c>
      <c r="O13" s="96"/>
      <c r="P13" s="96"/>
      <c r="Q13" s="96"/>
      <c r="R13" s="96"/>
      <c r="S13" s="96"/>
      <c r="T13" s="89">
        <f>$D$3*T9</f>
        <v>63493.073219999998</v>
      </c>
      <c r="U13" s="96"/>
      <c r="V13" s="96"/>
      <c r="W13" s="96"/>
      <c r="X13" s="96"/>
      <c r="Y13" s="96"/>
      <c r="Z13" s="89">
        <f>$D$3*Z9</f>
        <v>63493.073219999998</v>
      </c>
    </row>
    <row r="14" spans="1:27" x14ac:dyDescent="0.3">
      <c r="A14" s="26" t="s">
        <v>149</v>
      </c>
      <c r="B14" s="96"/>
      <c r="C14" s="89">
        <f>$D$3-C13</f>
        <v>1142875.3179599999</v>
      </c>
      <c r="D14" s="277"/>
      <c r="E14" s="96"/>
      <c r="F14" s="89">
        <f>C14-F13</f>
        <v>939697.48365599988</v>
      </c>
      <c r="G14" s="96"/>
      <c r="H14" s="89">
        <f>F14-H13</f>
        <v>736519.64935199986</v>
      </c>
      <c r="I14" s="96"/>
      <c r="J14" s="89">
        <f>H14-J13</f>
        <v>533341.81504799984</v>
      </c>
      <c r="K14" s="96"/>
      <c r="L14" s="89">
        <f>J14-L13</f>
        <v>330163.98074399983</v>
      </c>
      <c r="M14" s="96"/>
      <c r="N14" s="89">
        <f>L14-N13</f>
        <v>330163.98074399983</v>
      </c>
      <c r="O14" s="96"/>
      <c r="P14" s="277"/>
      <c r="Q14" s="277"/>
      <c r="R14" s="277"/>
      <c r="S14" s="277"/>
      <c r="T14" s="89">
        <f>N14-T13</f>
        <v>266670.90752399981</v>
      </c>
      <c r="U14" s="277"/>
      <c r="V14" s="277"/>
      <c r="W14" s="277"/>
      <c r="X14" s="277"/>
      <c r="Y14" s="277"/>
      <c r="Z14" s="89">
        <f>T14-Z13</f>
        <v>203177.83430399981</v>
      </c>
    </row>
    <row r="15" spans="1:27" s="74" customFormat="1" x14ac:dyDescent="0.3">
      <c r="A15" s="26" t="s">
        <v>256</v>
      </c>
      <c r="B15" s="96"/>
      <c r="C15" s="103">
        <f>C13</f>
        <v>126986.14644</v>
      </c>
      <c r="D15" s="278">
        <f>C15+D13</f>
        <v>126986.14644</v>
      </c>
      <c r="E15" s="278">
        <f t="shared" ref="E15:S15" si="0">D15+E13</f>
        <v>126986.14644</v>
      </c>
      <c r="F15" s="103">
        <f t="shared" si="0"/>
        <v>330163.980744</v>
      </c>
      <c r="G15" s="278">
        <f t="shared" si="0"/>
        <v>330163.980744</v>
      </c>
      <c r="H15" s="103">
        <f t="shared" si="0"/>
        <v>533341.81504799996</v>
      </c>
      <c r="I15" s="278">
        <f t="shared" si="0"/>
        <v>533341.81504799996</v>
      </c>
      <c r="J15" s="103">
        <f t="shared" si="0"/>
        <v>736519.64935199998</v>
      </c>
      <c r="K15" s="96">
        <f t="shared" si="0"/>
        <v>736519.64935199998</v>
      </c>
      <c r="L15" s="103">
        <f t="shared" si="0"/>
        <v>939697.483656</v>
      </c>
      <c r="M15" s="96">
        <f t="shared" si="0"/>
        <v>939697.483656</v>
      </c>
      <c r="N15" s="103">
        <f t="shared" si="0"/>
        <v>939697.483656</v>
      </c>
      <c r="O15" s="278">
        <f t="shared" si="0"/>
        <v>939697.483656</v>
      </c>
      <c r="P15" s="278">
        <f t="shared" si="0"/>
        <v>939697.483656</v>
      </c>
      <c r="Q15" s="278">
        <f t="shared" si="0"/>
        <v>939697.483656</v>
      </c>
      <c r="R15" s="278">
        <f t="shared" si="0"/>
        <v>939697.483656</v>
      </c>
      <c r="S15" s="278">
        <f t="shared" si="0"/>
        <v>939697.483656</v>
      </c>
      <c r="T15" s="103">
        <f>T13+S15</f>
        <v>1003190.556876</v>
      </c>
      <c r="U15" s="278">
        <f t="shared" ref="U15:Z15" si="1">U13+T15</f>
        <v>1003190.556876</v>
      </c>
      <c r="V15" s="278">
        <f t="shared" si="1"/>
        <v>1003190.556876</v>
      </c>
      <c r="W15" s="278">
        <f t="shared" si="1"/>
        <v>1003190.556876</v>
      </c>
      <c r="X15" s="278">
        <f t="shared" si="1"/>
        <v>1003190.556876</v>
      </c>
      <c r="Y15" s="278">
        <f t="shared" si="1"/>
        <v>1003190.556876</v>
      </c>
      <c r="Z15" s="103">
        <f t="shared" si="1"/>
        <v>1066683.6300959999</v>
      </c>
      <c r="AA15" s="274"/>
    </row>
    <row r="16" spans="1:27" s="74" customFormat="1" x14ac:dyDescent="0.3">
      <c r="A16" s="26" t="s">
        <v>257</v>
      </c>
      <c r="B16" s="96"/>
      <c r="C16" s="104">
        <f t="shared" ref="C16:H16" si="2">C13/$D$3+B16</f>
        <v>0.1</v>
      </c>
      <c r="D16" s="279">
        <f t="shared" si="2"/>
        <v>0.1</v>
      </c>
      <c r="E16" s="279">
        <f t="shared" si="2"/>
        <v>0.1</v>
      </c>
      <c r="F16" s="104">
        <f t="shared" si="2"/>
        <v>0.26</v>
      </c>
      <c r="G16" s="279">
        <f t="shared" si="2"/>
        <v>0.26</v>
      </c>
      <c r="H16" s="104">
        <f t="shared" si="2"/>
        <v>0.42000000000000004</v>
      </c>
      <c r="I16" s="279">
        <f t="shared" ref="I16:W16" si="3">I13/$D$3+H16</f>
        <v>0.42000000000000004</v>
      </c>
      <c r="J16" s="104">
        <f t="shared" si="3"/>
        <v>0.58000000000000007</v>
      </c>
      <c r="K16" s="96">
        <f t="shared" si="3"/>
        <v>0.58000000000000007</v>
      </c>
      <c r="L16" s="104">
        <f t="shared" si="3"/>
        <v>0.7400000000000001</v>
      </c>
      <c r="M16" s="96">
        <f t="shared" si="3"/>
        <v>0.7400000000000001</v>
      </c>
      <c r="N16" s="104">
        <f t="shared" si="3"/>
        <v>0.7400000000000001</v>
      </c>
      <c r="O16" s="279">
        <f t="shared" si="3"/>
        <v>0.7400000000000001</v>
      </c>
      <c r="P16" s="279">
        <f t="shared" si="3"/>
        <v>0.7400000000000001</v>
      </c>
      <c r="Q16" s="279">
        <f t="shared" si="3"/>
        <v>0.7400000000000001</v>
      </c>
      <c r="R16" s="279">
        <f t="shared" si="3"/>
        <v>0.7400000000000001</v>
      </c>
      <c r="S16" s="279">
        <f t="shared" si="3"/>
        <v>0.7400000000000001</v>
      </c>
      <c r="T16" s="104">
        <f t="shared" si="3"/>
        <v>0.79000000000000015</v>
      </c>
      <c r="U16" s="279">
        <f t="shared" si="3"/>
        <v>0.79000000000000015</v>
      </c>
      <c r="V16" s="279">
        <f t="shared" si="3"/>
        <v>0.79000000000000015</v>
      </c>
      <c r="W16" s="279">
        <f t="shared" si="3"/>
        <v>0.79000000000000015</v>
      </c>
      <c r="X16" s="279">
        <f>X13/$D$3+W16</f>
        <v>0.79000000000000015</v>
      </c>
      <c r="Y16" s="279">
        <f>Y13/$D$3+X16</f>
        <v>0.79000000000000015</v>
      </c>
      <c r="Z16" s="104">
        <f>Z13/$D$3+Y16</f>
        <v>0.84000000000000019</v>
      </c>
      <c r="AA16" s="274"/>
    </row>
    <row r="17" spans="1:27" s="74" customFormat="1" x14ac:dyDescent="0.3">
      <c r="A17" s="26" t="s">
        <v>258</v>
      </c>
      <c r="B17" s="96"/>
      <c r="C17" s="104">
        <f t="shared" ref="C17:Z17" si="4">1-C16</f>
        <v>0.9</v>
      </c>
      <c r="D17" s="279">
        <f t="shared" si="4"/>
        <v>0.9</v>
      </c>
      <c r="E17" s="279">
        <f t="shared" si="4"/>
        <v>0.9</v>
      </c>
      <c r="F17" s="104">
        <f t="shared" si="4"/>
        <v>0.74</v>
      </c>
      <c r="G17" s="279">
        <f t="shared" si="4"/>
        <v>0.74</v>
      </c>
      <c r="H17" s="104">
        <f t="shared" si="4"/>
        <v>0.57999999999999996</v>
      </c>
      <c r="I17" s="279">
        <f t="shared" si="4"/>
        <v>0.57999999999999996</v>
      </c>
      <c r="J17" s="104">
        <f t="shared" si="4"/>
        <v>0.41999999999999993</v>
      </c>
      <c r="K17" s="96">
        <f t="shared" si="4"/>
        <v>0.41999999999999993</v>
      </c>
      <c r="L17" s="104">
        <f t="shared" si="4"/>
        <v>0.2599999999999999</v>
      </c>
      <c r="M17" s="96">
        <f t="shared" si="4"/>
        <v>0.2599999999999999</v>
      </c>
      <c r="N17" s="104">
        <f t="shared" si="4"/>
        <v>0.2599999999999999</v>
      </c>
      <c r="O17" s="279">
        <f t="shared" si="4"/>
        <v>0.2599999999999999</v>
      </c>
      <c r="P17" s="279">
        <f t="shared" si="4"/>
        <v>0.2599999999999999</v>
      </c>
      <c r="Q17" s="279">
        <f t="shared" si="4"/>
        <v>0.2599999999999999</v>
      </c>
      <c r="R17" s="279">
        <f t="shared" si="4"/>
        <v>0.2599999999999999</v>
      </c>
      <c r="S17" s="279">
        <f t="shared" si="4"/>
        <v>0.2599999999999999</v>
      </c>
      <c r="T17" s="104">
        <f t="shared" si="4"/>
        <v>0.20999999999999985</v>
      </c>
      <c r="U17" s="279">
        <f t="shared" si="4"/>
        <v>0.20999999999999985</v>
      </c>
      <c r="V17" s="279">
        <f t="shared" si="4"/>
        <v>0.20999999999999985</v>
      </c>
      <c r="W17" s="279">
        <f t="shared" si="4"/>
        <v>0.20999999999999985</v>
      </c>
      <c r="X17" s="279">
        <f t="shared" si="4"/>
        <v>0.20999999999999985</v>
      </c>
      <c r="Y17" s="279">
        <f t="shared" si="4"/>
        <v>0.20999999999999985</v>
      </c>
      <c r="Z17" s="104">
        <f t="shared" si="4"/>
        <v>0.15999999999999981</v>
      </c>
      <c r="AA17" s="274"/>
    </row>
    <row r="18" spans="1:27" x14ac:dyDescent="0.3">
      <c r="A18" s="26" t="s">
        <v>151</v>
      </c>
      <c r="B18" s="97"/>
      <c r="C18" s="90">
        <v>45357</v>
      </c>
      <c r="D18" s="97"/>
      <c r="E18" s="97"/>
      <c r="F18" s="27">
        <v>45449</v>
      </c>
      <c r="G18" s="97"/>
      <c r="H18" s="27">
        <v>45510</v>
      </c>
      <c r="I18" s="97"/>
      <c r="J18" s="90">
        <v>45571</v>
      </c>
      <c r="K18" s="97"/>
      <c r="L18" s="90">
        <v>45632</v>
      </c>
      <c r="M18" s="97"/>
      <c r="N18" s="90">
        <v>45694</v>
      </c>
      <c r="O18" s="97"/>
      <c r="P18" s="280"/>
      <c r="Q18" s="280"/>
      <c r="R18" s="280"/>
      <c r="S18" s="280"/>
      <c r="T18" s="90">
        <v>45875</v>
      </c>
      <c r="U18" s="280"/>
      <c r="V18" s="280"/>
      <c r="W18" s="280"/>
      <c r="X18" s="280"/>
      <c r="Y18" s="280"/>
      <c r="Z18" s="90">
        <v>46059</v>
      </c>
    </row>
    <row r="19" spans="1:27" x14ac:dyDescent="0.3">
      <c r="A19" s="26" t="s">
        <v>259</v>
      </c>
      <c r="B19" s="92"/>
      <c r="C19" s="90">
        <v>45357</v>
      </c>
      <c r="D19" s="92"/>
      <c r="E19" s="92"/>
      <c r="F19" s="102">
        <v>45449</v>
      </c>
      <c r="G19" s="92"/>
      <c r="H19" s="102">
        <v>45565</v>
      </c>
      <c r="I19" s="92"/>
      <c r="J19" s="27">
        <v>45590</v>
      </c>
      <c r="K19" s="92"/>
      <c r="L19" s="27">
        <v>45644</v>
      </c>
      <c r="M19" s="92"/>
      <c r="N19" s="27">
        <v>45704</v>
      </c>
      <c r="O19" s="92"/>
      <c r="P19" s="92"/>
      <c r="Q19" s="92"/>
      <c r="R19" s="92"/>
      <c r="S19" s="92"/>
      <c r="T19" s="90">
        <v>45875</v>
      </c>
      <c r="U19" s="281"/>
      <c r="V19" s="281"/>
      <c r="W19" s="281"/>
      <c r="X19" s="281"/>
      <c r="Y19" s="281"/>
      <c r="Z19" s="90">
        <v>46059</v>
      </c>
    </row>
    <row r="20" spans="1:27" x14ac:dyDescent="0.3">
      <c r="A20" s="26" t="s">
        <v>153</v>
      </c>
      <c r="B20" s="97"/>
      <c r="C20" s="90">
        <v>45365</v>
      </c>
      <c r="D20" s="97"/>
      <c r="E20" s="97"/>
      <c r="F20" s="27">
        <v>45496</v>
      </c>
      <c r="G20" s="97"/>
      <c r="H20" s="102" t="s">
        <v>260</v>
      </c>
      <c r="I20" s="97"/>
      <c r="J20" s="90">
        <v>45593</v>
      </c>
      <c r="K20" s="97"/>
      <c r="L20" s="90"/>
      <c r="M20" s="97"/>
      <c r="N20" s="90"/>
      <c r="O20" s="97"/>
      <c r="P20" s="97"/>
      <c r="Q20" s="97"/>
      <c r="R20" s="97"/>
      <c r="S20" s="97"/>
      <c r="T20" s="90"/>
      <c r="U20" s="97"/>
      <c r="V20" s="97"/>
      <c r="W20" s="97"/>
      <c r="X20" s="97"/>
      <c r="Y20" s="97"/>
      <c r="Z20" s="90"/>
    </row>
    <row r="21" spans="1:27" x14ac:dyDescent="0.3">
      <c r="A21" s="26" t="s">
        <v>261</v>
      </c>
      <c r="B21" s="92"/>
      <c r="C21" s="28" t="s">
        <v>144</v>
      </c>
      <c r="D21" s="97"/>
      <c r="E21" s="97"/>
      <c r="F21" s="28" t="s">
        <v>144</v>
      </c>
      <c r="G21" s="97"/>
      <c r="H21" s="28" t="s">
        <v>144</v>
      </c>
      <c r="I21" s="97"/>
      <c r="J21" s="28" t="s">
        <v>144</v>
      </c>
      <c r="K21" s="97"/>
      <c r="L21" s="28"/>
      <c r="M21" s="97"/>
      <c r="N21" s="28"/>
      <c r="O21" s="97"/>
      <c r="P21" s="97"/>
      <c r="Q21" s="97"/>
      <c r="R21" s="97"/>
      <c r="S21" s="97"/>
      <c r="T21" s="28"/>
      <c r="U21" s="97"/>
      <c r="V21" s="97"/>
      <c r="W21" s="97"/>
      <c r="X21" s="97"/>
      <c r="Y21" s="97"/>
      <c r="Z21" s="28"/>
    </row>
    <row r="22" spans="1:27" ht="28.8" x14ac:dyDescent="0.3">
      <c r="A22" s="26" t="s">
        <v>262</v>
      </c>
      <c r="B22" s="92"/>
      <c r="C22" s="28" t="s">
        <v>157</v>
      </c>
      <c r="D22" s="97"/>
      <c r="E22" s="97"/>
      <c r="F22" s="28" t="s">
        <v>47</v>
      </c>
      <c r="G22" s="97"/>
      <c r="H22" s="28" t="s">
        <v>47</v>
      </c>
      <c r="I22" s="97"/>
      <c r="J22" s="28" t="s">
        <v>47</v>
      </c>
      <c r="K22" s="97"/>
      <c r="L22" s="28"/>
      <c r="M22" s="97"/>
      <c r="N22" s="28"/>
      <c r="O22" s="97"/>
      <c r="P22" s="97"/>
      <c r="Q22" s="97"/>
      <c r="R22" s="97"/>
      <c r="S22" s="97"/>
      <c r="T22" s="28"/>
      <c r="U22" s="97"/>
      <c r="V22" s="97"/>
      <c r="W22" s="97"/>
      <c r="X22" s="97"/>
      <c r="Y22" s="97"/>
      <c r="Z22" s="28"/>
    </row>
    <row r="23" spans="1:27" x14ac:dyDescent="0.3">
      <c r="A23" s="26" t="s">
        <v>263</v>
      </c>
      <c r="B23" s="92"/>
      <c r="C23" s="91">
        <v>22969421</v>
      </c>
      <c r="D23" s="97"/>
      <c r="E23" s="92"/>
      <c r="F23" s="28"/>
      <c r="G23" s="92"/>
      <c r="H23" s="28"/>
      <c r="I23" s="92"/>
      <c r="J23" s="28"/>
      <c r="K23" s="92"/>
      <c r="L23" s="28"/>
      <c r="M23" s="92"/>
      <c r="N23" s="28"/>
      <c r="O23" s="92"/>
      <c r="P23" s="92"/>
      <c r="Q23" s="92"/>
      <c r="R23" s="92"/>
      <c r="S23" s="92"/>
      <c r="T23" s="28"/>
      <c r="U23" s="92"/>
      <c r="V23" s="92"/>
      <c r="W23" s="92"/>
      <c r="X23" s="92"/>
      <c r="Y23" s="92"/>
      <c r="Z23" s="28"/>
    </row>
    <row r="24" spans="1:27" s="74" customFormat="1" x14ac:dyDescent="0.3">
      <c r="A24" s="26" t="s">
        <v>264</v>
      </c>
      <c r="B24" s="275"/>
      <c r="C24" s="276">
        <f>C23+B24</f>
        <v>22969421</v>
      </c>
      <c r="D24" s="276">
        <f>D23+C24</f>
        <v>22969421</v>
      </c>
      <c r="E24" s="276">
        <f>E23+D24</f>
        <v>22969421</v>
      </c>
      <c r="F24" s="276">
        <f>F23+E24</f>
        <v>22969421</v>
      </c>
      <c r="G24" s="276">
        <f>G23+F24</f>
        <v>22969421</v>
      </c>
      <c r="H24" s="276">
        <f t="shared" ref="H24:Z24" si="5">H23+G24</f>
        <v>22969421</v>
      </c>
      <c r="I24" s="276">
        <f t="shared" si="5"/>
        <v>22969421</v>
      </c>
      <c r="J24" s="276">
        <f t="shared" si="5"/>
        <v>22969421</v>
      </c>
      <c r="K24" s="276">
        <f t="shared" si="5"/>
        <v>22969421</v>
      </c>
      <c r="L24" s="276">
        <f t="shared" si="5"/>
        <v>22969421</v>
      </c>
      <c r="M24" s="276">
        <f t="shared" si="5"/>
        <v>22969421</v>
      </c>
      <c r="N24" s="276">
        <f t="shared" si="5"/>
        <v>22969421</v>
      </c>
      <c r="O24" s="276">
        <f t="shared" si="5"/>
        <v>22969421</v>
      </c>
      <c r="P24" s="276">
        <f t="shared" si="5"/>
        <v>22969421</v>
      </c>
      <c r="Q24" s="276">
        <f t="shared" si="5"/>
        <v>22969421</v>
      </c>
      <c r="R24" s="276">
        <f t="shared" si="5"/>
        <v>22969421</v>
      </c>
      <c r="S24" s="276">
        <f t="shared" si="5"/>
        <v>22969421</v>
      </c>
      <c r="T24" s="276">
        <f t="shared" si="5"/>
        <v>22969421</v>
      </c>
      <c r="U24" s="276">
        <f t="shared" si="5"/>
        <v>22969421</v>
      </c>
      <c r="V24" s="276">
        <f t="shared" si="5"/>
        <v>22969421</v>
      </c>
      <c r="W24" s="276">
        <f t="shared" si="5"/>
        <v>22969421</v>
      </c>
      <c r="X24" s="276">
        <f t="shared" si="5"/>
        <v>22969421</v>
      </c>
      <c r="Y24" s="276">
        <f t="shared" si="5"/>
        <v>22969421</v>
      </c>
      <c r="Z24" s="276">
        <f t="shared" si="5"/>
        <v>22969421</v>
      </c>
      <c r="AA24" s="274"/>
    </row>
    <row r="25" spans="1:27" ht="27.6" x14ac:dyDescent="0.3">
      <c r="A25" s="26" t="s">
        <v>154</v>
      </c>
      <c r="B25" s="92"/>
      <c r="C25" s="28" t="s">
        <v>265</v>
      </c>
      <c r="D25" s="92"/>
      <c r="E25" s="92"/>
      <c r="F25" s="28"/>
      <c r="G25" s="92"/>
      <c r="H25" s="28"/>
      <c r="I25" s="92"/>
      <c r="J25" s="28"/>
      <c r="K25" s="92"/>
      <c r="L25" s="28"/>
      <c r="M25" s="92"/>
      <c r="N25" s="28"/>
      <c r="O25" s="92"/>
      <c r="P25" s="92"/>
      <c r="Q25" s="92"/>
      <c r="R25" s="92"/>
      <c r="S25" s="92"/>
      <c r="T25" s="28"/>
      <c r="U25" s="92"/>
      <c r="V25" s="92"/>
      <c r="W25" s="92"/>
      <c r="X25" s="92"/>
      <c r="Y25" s="92"/>
      <c r="Z25" s="28"/>
    </row>
    <row r="32" spans="1:27" x14ac:dyDescent="0.3">
      <c r="I32" s="78"/>
    </row>
    <row r="37" spans="4:4" x14ac:dyDescent="0.3">
      <c r="D37" s="78"/>
    </row>
  </sheetData>
  <phoneticPr fontId="10" type="noConversion"/>
  <conditionalFormatting sqref="B22:C22 F22 H22 J22 L22 N22 T22 Z22:XFD22">
    <cfRule type="cellIs" dxfId="8" priority="1" operator="equal">
      <formula>"Non"</formula>
    </cfRule>
    <cfRule type="cellIs" dxfId="7" priority="2" operator="equal">
      <formula>"Oui"</formula>
    </cfRule>
  </conditionalFormatting>
  <dataValidations count="2">
    <dataValidation type="list" allowBlank="1" showInputMessage="1" showErrorMessage="1" sqref="Z21 T21 N21 L21 J21 H21 C21 F21" xr:uid="{D482BA09-2063-43AE-94CD-55A5C90BD85A}">
      <formula1>"Facturé, Non Facturé"</formula1>
    </dataValidation>
    <dataValidation type="list" allowBlank="1" showInputMessage="1" showErrorMessage="1" sqref="Z22 T22 N22 L22 J22 H22 C22 F22" xr:uid="{31B19EF2-CE1E-4DFA-83C8-FA639DBB1F98}">
      <formula1>"Oui, Non"</formula1>
    </dataValidation>
  </dataValidations>
  <hyperlinks>
    <hyperlink ref="A2" location="Dashboard!A1" display="Tableau de bord" xr:uid="{AD413D3B-0AC8-1344-A088-E2B7FFF047F0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30ED-9E99-4476-97C3-D30C8C0A6C22}">
  <sheetPr>
    <tabColor theme="9"/>
  </sheetPr>
  <dimension ref="A1:AB20"/>
  <sheetViews>
    <sheetView topLeftCell="B1" zoomScale="85" zoomScaleNormal="85" workbookViewId="0">
      <selection activeCell="I22" sqref="I22"/>
    </sheetView>
  </sheetViews>
  <sheetFormatPr defaultColWidth="11.44140625" defaultRowHeight="14.4" x14ac:dyDescent="0.3"/>
  <cols>
    <col min="1" max="1" width="18.44140625" hidden="1" customWidth="1"/>
    <col min="2" max="2" width="13.44140625" customWidth="1"/>
    <col min="3" max="3" width="20.6640625" bestFit="1" customWidth="1"/>
    <col min="4" max="4" width="4.6640625" customWidth="1"/>
    <col min="5" max="5" width="8.6640625" customWidth="1"/>
    <col min="6" max="6" width="17.6640625" bestFit="1" customWidth="1"/>
    <col min="7" max="7" width="13.33203125" customWidth="1"/>
    <col min="8" max="8" width="16.33203125" customWidth="1"/>
    <col min="9" max="9" width="22.33203125" customWidth="1"/>
    <col min="10" max="10" width="18" customWidth="1"/>
    <col min="11" max="11" width="19.6640625" customWidth="1"/>
    <col min="12" max="12" width="18" customWidth="1"/>
    <col min="13" max="13" width="19" customWidth="1"/>
    <col min="14" max="14" width="12.33203125" customWidth="1"/>
    <col min="15" max="15" width="8.33203125" customWidth="1"/>
    <col min="16" max="16" width="19.44140625" bestFit="1" customWidth="1"/>
    <col min="17" max="17" width="21.6640625" customWidth="1"/>
    <col min="18" max="18" width="19" bestFit="1" customWidth="1"/>
    <col min="19" max="19" width="17.109375" bestFit="1" customWidth="1"/>
    <col min="20" max="20" width="26" customWidth="1"/>
  </cols>
  <sheetData>
    <row r="1" spans="1:28" ht="15" thickBot="1" x14ac:dyDescent="0.35"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21.75" customHeight="1" thickBot="1" x14ac:dyDescent="0.35">
      <c r="A2" s="31" t="s">
        <v>4</v>
      </c>
      <c r="C2" s="10"/>
      <c r="D2" s="10"/>
      <c r="E2" s="10"/>
      <c r="F2" s="10"/>
      <c r="G2" s="10"/>
      <c r="H2" s="444" t="s">
        <v>251</v>
      </c>
      <c r="I2" s="445">
        <f>'Fiche identification'!B26</f>
        <v>1269861.4643999999</v>
      </c>
      <c r="J2" s="10" t="e">
        <f>J4*#REF!</f>
        <v>#REF!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26.25" customHeight="1" thickBot="1" x14ac:dyDescent="0.35">
      <c r="C3" s="10"/>
      <c r="D3" s="10"/>
      <c r="E3" s="10"/>
      <c r="F3" s="10"/>
      <c r="G3" s="10"/>
      <c r="H3" s="444" t="s">
        <v>266</v>
      </c>
      <c r="I3" s="445">
        <v>1171440.5020000001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28.8" thickTop="1" thickBot="1" x14ac:dyDescent="0.35">
      <c r="A4" s="24" t="s">
        <v>213</v>
      </c>
      <c r="B4" s="29">
        <f>Dashboard!C22</f>
        <v>45997</v>
      </c>
      <c r="C4" s="10"/>
      <c r="D4" s="10"/>
      <c r="E4" s="10"/>
      <c r="F4" s="10"/>
      <c r="G4" s="10"/>
      <c r="H4" s="444" t="s">
        <v>252</v>
      </c>
      <c r="I4" s="446">
        <f>'Fiche identification'!B22</f>
        <v>248992444</v>
      </c>
      <c r="J4" s="10">
        <v>222803390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5" thickTop="1" x14ac:dyDescent="0.3"/>
    <row r="6" spans="1:28" x14ac:dyDescent="0.3">
      <c r="B6" s="557" t="s">
        <v>267</v>
      </c>
      <c r="C6" s="439" t="s">
        <v>97</v>
      </c>
      <c r="D6" s="439" t="s">
        <v>103</v>
      </c>
      <c r="E6" s="439" t="s">
        <v>108</v>
      </c>
      <c r="F6" s="439" t="s">
        <v>102</v>
      </c>
      <c r="G6" s="439" t="s">
        <v>151</v>
      </c>
      <c r="H6" s="439" t="s">
        <v>255</v>
      </c>
      <c r="I6" s="439" t="s">
        <v>149</v>
      </c>
      <c r="J6" s="439" t="s">
        <v>256</v>
      </c>
      <c r="K6" s="439" t="s">
        <v>257</v>
      </c>
      <c r="L6" s="439" t="s">
        <v>258</v>
      </c>
      <c r="M6" s="439" t="s">
        <v>259</v>
      </c>
      <c r="N6" s="439" t="s">
        <v>153</v>
      </c>
      <c r="O6" s="439" t="s">
        <v>261</v>
      </c>
      <c r="P6" s="439" t="s">
        <v>262</v>
      </c>
      <c r="Q6" s="439" t="s">
        <v>263</v>
      </c>
      <c r="R6" s="439" t="s">
        <v>264</v>
      </c>
      <c r="S6" s="439" t="s">
        <v>154</v>
      </c>
      <c r="T6" s="26" t="s">
        <v>268</v>
      </c>
    </row>
    <row r="7" spans="1:28" s="495" customFormat="1" ht="15" thickBot="1" x14ac:dyDescent="0.35">
      <c r="A7" s="558">
        <v>45358</v>
      </c>
      <c r="B7" s="559">
        <v>1</v>
      </c>
      <c r="C7" s="560" t="s">
        <v>156</v>
      </c>
      <c r="D7" s="561">
        <v>0.1</v>
      </c>
      <c r="E7" s="560" t="s">
        <v>43</v>
      </c>
      <c r="F7" s="562">
        <v>22280339</v>
      </c>
      <c r="G7" s="563">
        <f>DATE(2024,3,6)+10</f>
        <v>45367</v>
      </c>
      <c r="H7" s="564" t="e">
        <f>F7*#REF!</f>
        <v>#REF!</v>
      </c>
      <c r="I7" s="556" t="e">
        <f>$J$2-H7</f>
        <v>#REF!</v>
      </c>
      <c r="J7" s="556" t="e">
        <f>H7</f>
        <v>#REF!</v>
      </c>
      <c r="K7" s="561" t="e">
        <f t="shared" ref="K7:K14" si="0">J7/$I$3</f>
        <v>#REF!</v>
      </c>
      <c r="L7" s="561" t="e">
        <f>100%-K7</f>
        <v>#REF!</v>
      </c>
      <c r="M7" s="563">
        <f>DATE(2024,3,6)+10</f>
        <v>45367</v>
      </c>
      <c r="N7" s="563">
        <v>45365</v>
      </c>
      <c r="O7" s="560" t="s">
        <v>144</v>
      </c>
      <c r="P7" s="560" t="s">
        <v>157</v>
      </c>
      <c r="Q7" s="566">
        <v>22969421</v>
      </c>
      <c r="R7" s="567">
        <v>22969421</v>
      </c>
      <c r="S7" s="560" t="s">
        <v>265</v>
      </c>
      <c r="T7" s="565"/>
    </row>
    <row r="8" spans="1:28" s="495" customFormat="1" ht="15" thickBot="1" x14ac:dyDescent="0.35">
      <c r="A8" s="558">
        <v>45450</v>
      </c>
      <c r="B8" s="559">
        <v>2</v>
      </c>
      <c r="C8" s="560" t="s">
        <v>159</v>
      </c>
      <c r="D8" s="561">
        <v>0.16</v>
      </c>
      <c r="E8" s="560" t="s">
        <v>43</v>
      </c>
      <c r="F8" s="562">
        <v>35767792</v>
      </c>
      <c r="G8" s="563">
        <f>DATE(2024,6,6)+10</f>
        <v>45459</v>
      </c>
      <c r="H8" s="564" t="e">
        <f>F8*#REF!</f>
        <v>#REF!</v>
      </c>
      <c r="I8" s="556" t="e">
        <f>I7-H8</f>
        <v>#REF!</v>
      </c>
      <c r="J8" s="556" t="e">
        <f>H7+H8</f>
        <v>#REF!</v>
      </c>
      <c r="K8" s="561" t="e">
        <f t="shared" si="0"/>
        <v>#REF!</v>
      </c>
      <c r="L8" s="561" t="e">
        <f>100%-K8</f>
        <v>#REF!</v>
      </c>
      <c r="M8" s="563">
        <f>DATE(2024,6,6)+10</f>
        <v>45459</v>
      </c>
      <c r="N8" s="563">
        <v>45496</v>
      </c>
      <c r="O8" s="560" t="s">
        <v>144</v>
      </c>
      <c r="P8" s="560" t="s">
        <v>47</v>
      </c>
      <c r="Q8" s="560"/>
      <c r="R8" s="567">
        <v>22969421</v>
      </c>
      <c r="S8" s="560"/>
      <c r="T8" s="565"/>
    </row>
    <row r="9" spans="1:28" s="495" customFormat="1" ht="15" thickBot="1" x14ac:dyDescent="0.35">
      <c r="A9" s="558">
        <v>45511</v>
      </c>
      <c r="B9" s="559">
        <v>3</v>
      </c>
      <c r="C9" s="560" t="s">
        <v>161</v>
      </c>
      <c r="D9" s="561">
        <v>0.16</v>
      </c>
      <c r="E9" s="560" t="s">
        <v>43</v>
      </c>
      <c r="F9" s="562">
        <v>35791642</v>
      </c>
      <c r="G9" s="563">
        <f>DATE(2024,8,6)+10</f>
        <v>45520</v>
      </c>
      <c r="H9" s="564" t="e">
        <f>F9*#REF!</f>
        <v>#REF!</v>
      </c>
      <c r="I9" s="556" t="e">
        <f t="shared" ref="I9" si="1">I8-H9</f>
        <v>#REF!</v>
      </c>
      <c r="J9" s="556" t="e">
        <f>H7+H8+H9</f>
        <v>#REF!</v>
      </c>
      <c r="K9" s="561" t="e">
        <f t="shared" si="0"/>
        <v>#REF!</v>
      </c>
      <c r="L9" s="561" t="e">
        <f t="shared" ref="L9:L14" si="2">100%-K9</f>
        <v>#REF!</v>
      </c>
      <c r="M9" s="563">
        <f>DATE(2024,9,20)+10</f>
        <v>45565</v>
      </c>
      <c r="N9" s="563" t="s">
        <v>260</v>
      </c>
      <c r="O9" s="560" t="s">
        <v>144</v>
      </c>
      <c r="P9" s="560" t="s">
        <v>47</v>
      </c>
      <c r="Q9" s="560"/>
      <c r="R9" s="567">
        <v>22969421</v>
      </c>
      <c r="S9" s="560"/>
      <c r="T9" s="565"/>
    </row>
    <row r="10" spans="1:28" s="495" customFormat="1" ht="15" thickBot="1" x14ac:dyDescent="0.35">
      <c r="A10" s="558">
        <v>45572</v>
      </c>
      <c r="B10" s="559">
        <v>4</v>
      </c>
      <c r="C10" s="560" t="s">
        <v>163</v>
      </c>
      <c r="D10" s="561">
        <v>0.16</v>
      </c>
      <c r="E10" s="560" t="s">
        <v>43</v>
      </c>
      <c r="F10" s="562">
        <v>35791642</v>
      </c>
      <c r="G10" s="563">
        <f>DATE(2024,10,6)+10</f>
        <v>45581</v>
      </c>
      <c r="H10" s="564" t="e">
        <f>F10*#REF!</f>
        <v>#REF!</v>
      </c>
      <c r="I10" s="556" t="e">
        <f>I9-H10</f>
        <v>#REF!</v>
      </c>
      <c r="J10" s="556" t="e">
        <f>H7+H8+H9+H10</f>
        <v>#REF!</v>
      </c>
      <c r="K10" s="561" t="e">
        <f t="shared" si="0"/>
        <v>#REF!</v>
      </c>
      <c r="L10" s="561" t="e">
        <f t="shared" si="2"/>
        <v>#REF!</v>
      </c>
      <c r="M10" s="563">
        <f>DATE(2024,10,25)</f>
        <v>45590</v>
      </c>
      <c r="N10" s="563">
        <v>45593</v>
      </c>
      <c r="O10" s="560" t="s">
        <v>144</v>
      </c>
      <c r="P10" s="560" t="s">
        <v>47</v>
      </c>
      <c r="Q10" s="560"/>
      <c r="R10" s="567">
        <v>22969421</v>
      </c>
      <c r="S10" s="560"/>
      <c r="T10" s="565"/>
    </row>
    <row r="11" spans="1:28" s="495" customFormat="1" ht="15" thickBot="1" x14ac:dyDescent="0.35">
      <c r="A11" s="558">
        <v>45633</v>
      </c>
      <c r="B11" s="559">
        <v>5</v>
      </c>
      <c r="C11" s="560" t="s">
        <v>165</v>
      </c>
      <c r="D11" s="561">
        <v>0.16</v>
      </c>
      <c r="E11" s="560" t="s">
        <v>43</v>
      </c>
      <c r="F11" s="562">
        <v>35791642</v>
      </c>
      <c r="G11" s="563">
        <f>DATE(2024,12,6)+10</f>
        <v>45642</v>
      </c>
      <c r="H11" s="564" t="e">
        <f>F11*#REF!</f>
        <v>#REF!</v>
      </c>
      <c r="I11" s="556" t="e">
        <f>I10-H11</f>
        <v>#REF!</v>
      </c>
      <c r="J11" s="556" t="e">
        <f>SUM(H7:H11)</f>
        <v>#REF!</v>
      </c>
      <c r="K11" s="561" t="e">
        <f t="shared" si="0"/>
        <v>#REF!</v>
      </c>
      <c r="L11" s="561" t="e">
        <f t="shared" si="2"/>
        <v>#REF!</v>
      </c>
      <c r="M11" s="563">
        <v>45657</v>
      </c>
      <c r="N11" s="563">
        <v>45657</v>
      </c>
      <c r="O11" s="560" t="s">
        <v>144</v>
      </c>
      <c r="P11" s="560" t="s">
        <v>47</v>
      </c>
      <c r="Q11" s="560"/>
      <c r="R11" s="567">
        <v>22969421</v>
      </c>
      <c r="S11" s="560"/>
      <c r="T11" s="565"/>
    </row>
    <row r="12" spans="1:28" ht="15" thickBot="1" x14ac:dyDescent="0.35">
      <c r="A12" s="552">
        <v>45695</v>
      </c>
      <c r="B12" s="557">
        <v>6</v>
      </c>
      <c r="C12" s="439" t="s">
        <v>167</v>
      </c>
      <c r="D12" s="553">
        <v>0.16</v>
      </c>
      <c r="E12" s="439" t="s">
        <v>43</v>
      </c>
      <c r="F12" s="471">
        <f>J4*D12</f>
        <v>35648542.399999999</v>
      </c>
      <c r="G12" s="442">
        <f>DATE(2025,2,6)+10</f>
        <v>45704</v>
      </c>
      <c r="H12" s="554" t="e">
        <f>Tableau5[[#This Row],[Montant]]*#REF!</f>
        <v>#REF!</v>
      </c>
      <c r="I12" s="555" t="e">
        <f>I11-H12</f>
        <v>#REF!</v>
      </c>
      <c r="J12" s="555" t="e">
        <f>SUM(H7:H12)</f>
        <v>#REF!</v>
      </c>
      <c r="K12" s="553" t="e">
        <f t="shared" si="0"/>
        <v>#REF!</v>
      </c>
      <c r="L12" s="553" t="e">
        <f t="shared" si="2"/>
        <v>#REF!</v>
      </c>
      <c r="M12" s="442">
        <v>45704</v>
      </c>
      <c r="N12" s="442"/>
      <c r="O12" s="439"/>
      <c r="P12" s="439"/>
      <c r="Q12" s="439"/>
      <c r="R12" s="568">
        <v>22969421</v>
      </c>
      <c r="S12" s="439"/>
      <c r="T12" s="28"/>
    </row>
    <row r="13" spans="1:28" ht="15" thickBot="1" x14ac:dyDescent="0.35">
      <c r="A13" s="552">
        <v>45876</v>
      </c>
      <c r="B13" s="557">
        <v>7</v>
      </c>
      <c r="C13" s="439" t="s">
        <v>169</v>
      </c>
      <c r="D13" s="553">
        <v>0.05</v>
      </c>
      <c r="E13" s="439" t="s">
        <v>43</v>
      </c>
      <c r="F13" s="441">
        <f>J4*Tableau5[[#This Row],[%]]</f>
        <v>11140169.5</v>
      </c>
      <c r="G13" s="442">
        <f>DATE(2025,8,6)+10</f>
        <v>45885</v>
      </c>
      <c r="H13" s="554" t="e">
        <f>Tableau5[[#This Row],[Montant]]*#REF!</f>
        <v>#REF!</v>
      </c>
      <c r="I13" s="555" t="e">
        <f>I12-H13</f>
        <v>#REF!</v>
      </c>
      <c r="J13" s="555" t="e">
        <f>SUM(H7:H13)</f>
        <v>#REF!</v>
      </c>
      <c r="K13" s="553" t="e">
        <f t="shared" si="0"/>
        <v>#REF!</v>
      </c>
      <c r="L13" s="553" t="e">
        <f t="shared" si="2"/>
        <v>#REF!</v>
      </c>
      <c r="M13" s="442">
        <f>DATE(2025,8,6)+10</f>
        <v>45885</v>
      </c>
      <c r="N13" s="442"/>
      <c r="O13" s="439"/>
      <c r="P13" s="439"/>
      <c r="Q13" s="439"/>
      <c r="R13" s="568">
        <v>22969421</v>
      </c>
      <c r="S13" s="439"/>
      <c r="T13" s="28"/>
    </row>
    <row r="14" spans="1:28" ht="15" thickBot="1" x14ac:dyDescent="0.35">
      <c r="A14" s="552">
        <v>46060</v>
      </c>
      <c r="B14" s="557">
        <v>8</v>
      </c>
      <c r="C14" s="439" t="s">
        <v>171</v>
      </c>
      <c r="D14" s="553">
        <v>0.05</v>
      </c>
      <c r="E14" s="439" t="s">
        <v>43</v>
      </c>
      <c r="F14" s="441">
        <f>J4*Tableau5[[#This Row],[%]]</f>
        <v>11140169.5</v>
      </c>
      <c r="G14" s="442">
        <f>DATE(2026,2,6)+10</f>
        <v>46069</v>
      </c>
      <c r="H14" s="554" t="e">
        <f>Tableau5[[#This Row],[Montant]]*#REF!</f>
        <v>#REF!</v>
      </c>
      <c r="I14" s="555" t="e">
        <f>I13-H14</f>
        <v>#REF!</v>
      </c>
      <c r="J14" s="555" t="e">
        <f>SUM(H7:H14)</f>
        <v>#REF!</v>
      </c>
      <c r="K14" s="553" t="e">
        <f t="shared" si="0"/>
        <v>#REF!</v>
      </c>
      <c r="L14" s="553" t="e">
        <f t="shared" si="2"/>
        <v>#REF!</v>
      </c>
      <c r="M14" s="442">
        <f>DATE(2026,2,6)+10</f>
        <v>46069</v>
      </c>
      <c r="N14" s="442"/>
      <c r="O14" s="439"/>
      <c r="P14" s="439"/>
      <c r="Q14" s="439"/>
      <c r="R14" s="568">
        <v>22969421</v>
      </c>
      <c r="S14" s="439"/>
      <c r="T14" s="28"/>
    </row>
    <row r="20" spans="12:12" x14ac:dyDescent="0.3">
      <c r="L20" s="471"/>
    </row>
  </sheetData>
  <conditionalFormatting sqref="Q6:Q14">
    <cfRule type="cellIs" dxfId="6" priority="1" operator="equal">
      <formula>"Non"</formula>
    </cfRule>
    <cfRule type="cellIs" dxfId="5" priority="2" operator="equal">
      <formula>"Oui"</formula>
    </cfRule>
  </conditionalFormatting>
  <dataValidations count="2">
    <dataValidation type="list" allowBlank="1" showInputMessage="1" showErrorMessage="1" sqref="Q7:Q14" xr:uid="{FCA17089-1607-432B-AE7B-55D806003E54}">
      <formula1>"Oui, Non"</formula1>
    </dataValidation>
    <dataValidation type="list" allowBlank="1" showInputMessage="1" showErrorMessage="1" sqref="P7:P14" xr:uid="{3BBB888B-6D3D-4E13-AD21-9138C22D9EC6}">
      <formula1>"Facturé, Non facturé"</formula1>
    </dataValidation>
  </dataValidations>
  <hyperlinks>
    <hyperlink ref="A2" location="Dashboard!A1" display="Tableau de bord" xr:uid="{52A8B2B0-49DA-4ED2-8AF7-2ACEAC5F7209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8056-30F8-4727-B338-FA11D984DF5F}">
  <sheetPr>
    <tabColor rgb="FF53B032"/>
  </sheetPr>
  <dimension ref="A1:Z43"/>
  <sheetViews>
    <sheetView showGridLines="0" zoomScaleNormal="100" workbookViewId="0">
      <pane xSplit="1" ySplit="6" topLeftCell="B31" activePane="bottomRight" state="frozen"/>
      <selection pane="topRight" activeCell="B1" sqref="B1"/>
      <selection pane="bottomLeft" activeCell="A7" sqref="A7"/>
      <selection pane="bottomRight" activeCell="C42" sqref="C42"/>
    </sheetView>
  </sheetViews>
  <sheetFormatPr defaultColWidth="11.44140625" defaultRowHeight="14.4" x14ac:dyDescent="0.3"/>
  <cols>
    <col min="1" max="1" width="44.109375" bestFit="1" customWidth="1"/>
    <col min="2" max="6" width="15.109375" bestFit="1" customWidth="1"/>
    <col min="7" max="10" width="15.6640625" bestFit="1" customWidth="1"/>
    <col min="11" max="26" width="15.33203125" bestFit="1" customWidth="1"/>
  </cols>
  <sheetData>
    <row r="1" spans="1:26" ht="15" thickBot="1" x14ac:dyDescent="0.35"/>
    <row r="2" spans="1:26" ht="18" thickBot="1" x14ac:dyDescent="0.35">
      <c r="A2" s="31" t="s">
        <v>4</v>
      </c>
    </row>
    <row r="4" spans="1:26" x14ac:dyDescent="0.3">
      <c r="A4" s="24" t="s">
        <v>213</v>
      </c>
    </row>
    <row r="6" spans="1:26" ht="27.45" customHeight="1" x14ac:dyDescent="0.3">
      <c r="A6" s="22" t="s">
        <v>214</v>
      </c>
      <c r="B6" s="113">
        <v>45323</v>
      </c>
      <c r="C6" s="113">
        <v>45352</v>
      </c>
      <c r="D6" s="113">
        <v>45383</v>
      </c>
      <c r="E6" s="113">
        <v>45413</v>
      </c>
      <c r="F6" s="113">
        <v>45444</v>
      </c>
      <c r="G6" s="113">
        <v>45474</v>
      </c>
      <c r="H6" s="113">
        <v>45505</v>
      </c>
      <c r="I6" s="113">
        <v>45536</v>
      </c>
      <c r="J6" s="113">
        <v>45566</v>
      </c>
      <c r="K6" s="113">
        <v>45597</v>
      </c>
      <c r="L6" s="113">
        <v>45627</v>
      </c>
      <c r="M6" s="113">
        <v>45658</v>
      </c>
      <c r="N6" s="113">
        <v>45689</v>
      </c>
      <c r="O6" s="113">
        <v>45717</v>
      </c>
      <c r="P6" s="113">
        <v>45748</v>
      </c>
      <c r="Q6" s="113">
        <v>45778</v>
      </c>
      <c r="R6" s="113">
        <v>45809</v>
      </c>
      <c r="S6" s="113">
        <v>45839</v>
      </c>
      <c r="T6" s="113">
        <v>45870</v>
      </c>
      <c r="U6" s="113">
        <v>45901</v>
      </c>
      <c r="V6" s="113">
        <v>45931</v>
      </c>
      <c r="W6" s="113">
        <v>45962</v>
      </c>
      <c r="X6" s="113">
        <v>45992</v>
      </c>
      <c r="Y6" s="113">
        <v>46023</v>
      </c>
      <c r="Z6" s="113">
        <v>46054</v>
      </c>
    </row>
    <row r="7" spans="1:26" x14ac:dyDescent="0.3">
      <c r="A7" s="513" t="s">
        <v>215</v>
      </c>
      <c r="B7" s="510"/>
      <c r="C7" s="510"/>
      <c r="D7" s="510"/>
      <c r="E7" s="510"/>
      <c r="F7" s="510">
        <v>20</v>
      </c>
      <c r="G7" s="510">
        <v>20</v>
      </c>
      <c r="H7" s="511">
        <v>19</v>
      </c>
      <c r="I7" s="511">
        <v>20</v>
      </c>
      <c r="J7" s="511">
        <v>20</v>
      </c>
      <c r="K7" s="511">
        <v>0</v>
      </c>
      <c r="L7" s="511">
        <v>0</v>
      </c>
      <c r="M7" s="431">
        <v>0</v>
      </c>
      <c r="N7" s="431"/>
      <c r="O7" s="431"/>
      <c r="P7" s="431"/>
      <c r="Q7" s="431"/>
      <c r="R7" s="432"/>
      <c r="S7" s="431"/>
      <c r="T7" s="431"/>
      <c r="U7" s="431"/>
      <c r="V7" s="431"/>
      <c r="W7" s="431"/>
      <c r="X7" s="433"/>
      <c r="Y7" s="434"/>
      <c r="Z7" s="431"/>
    </row>
    <row r="8" spans="1:26" x14ac:dyDescent="0.3">
      <c r="A8" s="513" t="s">
        <v>104</v>
      </c>
      <c r="B8" s="510"/>
      <c r="C8" s="510"/>
      <c r="D8" s="510">
        <v>10</v>
      </c>
      <c r="E8" s="510"/>
      <c r="F8" s="510">
        <v>10</v>
      </c>
      <c r="G8" s="510">
        <v>20</v>
      </c>
      <c r="H8" s="511">
        <v>15</v>
      </c>
      <c r="I8" s="511">
        <v>20</v>
      </c>
      <c r="J8" s="511">
        <v>20</v>
      </c>
      <c r="K8" s="511">
        <v>0</v>
      </c>
      <c r="L8" s="511">
        <v>0</v>
      </c>
      <c r="M8" s="431">
        <v>0</v>
      </c>
      <c r="N8" s="431"/>
      <c r="O8" s="431"/>
      <c r="P8" s="431"/>
      <c r="Q8" s="431"/>
      <c r="R8" s="432"/>
      <c r="S8" s="431"/>
      <c r="T8" s="431"/>
      <c r="U8" s="431"/>
      <c r="V8" s="431"/>
      <c r="W8" s="431"/>
      <c r="X8" s="433"/>
      <c r="Y8" s="434"/>
      <c r="Z8" s="431"/>
    </row>
    <row r="9" spans="1:26" x14ac:dyDescent="0.3">
      <c r="A9" s="513" t="s">
        <v>216</v>
      </c>
      <c r="B9" s="510"/>
      <c r="C9" s="510"/>
      <c r="D9" s="510"/>
      <c r="E9" s="510">
        <v>20</v>
      </c>
      <c r="F9" s="510">
        <v>20</v>
      </c>
      <c r="G9" s="510">
        <v>20</v>
      </c>
      <c r="H9" s="511">
        <v>18</v>
      </c>
      <c r="I9" s="511">
        <v>18</v>
      </c>
      <c r="J9" s="511">
        <v>18</v>
      </c>
      <c r="K9" s="511">
        <v>10</v>
      </c>
      <c r="L9" s="511">
        <v>5</v>
      </c>
      <c r="M9" s="431">
        <v>0</v>
      </c>
      <c r="N9" s="431"/>
      <c r="O9" s="431"/>
      <c r="P9" s="431"/>
      <c r="Q9" s="431"/>
      <c r="R9" s="432"/>
      <c r="S9" s="431"/>
      <c r="T9" s="431"/>
      <c r="U9" s="431"/>
      <c r="V9" s="431"/>
      <c r="W9" s="431"/>
      <c r="X9" s="433"/>
      <c r="Y9" s="434"/>
      <c r="Z9" s="431"/>
    </row>
    <row r="10" spans="1:26" x14ac:dyDescent="0.3">
      <c r="A10" s="513" t="s">
        <v>217</v>
      </c>
      <c r="B10" s="510"/>
      <c r="C10" s="510"/>
      <c r="D10" s="510"/>
      <c r="E10" s="510"/>
      <c r="F10" s="510"/>
      <c r="G10" s="510">
        <v>10</v>
      </c>
      <c r="H10" s="511">
        <v>10</v>
      </c>
      <c r="I10" s="511">
        <v>10</v>
      </c>
      <c r="J10" s="511">
        <v>10</v>
      </c>
      <c r="K10" s="511">
        <v>20</v>
      </c>
      <c r="L10" s="511">
        <v>10</v>
      </c>
      <c r="M10" s="431"/>
      <c r="N10" s="431"/>
      <c r="O10" s="431"/>
      <c r="P10" s="431"/>
      <c r="Q10" s="431"/>
      <c r="R10" s="432"/>
      <c r="S10" s="431"/>
      <c r="T10" s="431"/>
      <c r="U10" s="431"/>
      <c r="V10" s="431"/>
      <c r="W10" s="431"/>
      <c r="X10" s="433"/>
      <c r="Y10" s="434"/>
      <c r="Z10" s="431"/>
    </row>
    <row r="11" spans="1:26" x14ac:dyDescent="0.3">
      <c r="A11" s="513" t="s">
        <v>218</v>
      </c>
      <c r="B11" s="510">
        <v>20</v>
      </c>
      <c r="C11" s="510">
        <v>20</v>
      </c>
      <c r="D11" s="510">
        <v>20</v>
      </c>
      <c r="E11" s="510">
        <v>20</v>
      </c>
      <c r="F11" s="510">
        <v>20</v>
      </c>
      <c r="G11" s="510">
        <v>20</v>
      </c>
      <c r="H11" s="511">
        <v>10</v>
      </c>
      <c r="I11" s="511">
        <v>10</v>
      </c>
      <c r="J11" s="511">
        <v>10</v>
      </c>
      <c r="K11" s="511">
        <v>15</v>
      </c>
      <c r="L11" s="511">
        <v>10</v>
      </c>
      <c r="M11" s="431">
        <v>15</v>
      </c>
      <c r="N11" s="431"/>
      <c r="O11" s="431"/>
      <c r="P11" s="431"/>
      <c r="Q11" s="431"/>
      <c r="R11" s="431"/>
      <c r="S11" s="431"/>
      <c r="T11" s="431"/>
      <c r="U11" s="431"/>
      <c r="V11" s="431"/>
      <c r="W11" s="431"/>
      <c r="X11" s="431"/>
      <c r="Y11" s="431"/>
      <c r="Z11" s="431"/>
    </row>
    <row r="12" spans="1:26" x14ac:dyDescent="0.3">
      <c r="A12" s="513" t="s">
        <v>219</v>
      </c>
      <c r="B12" s="510">
        <v>20</v>
      </c>
      <c r="C12" s="510">
        <v>20</v>
      </c>
      <c r="D12" s="510">
        <v>20</v>
      </c>
      <c r="E12" s="510">
        <v>20</v>
      </c>
      <c r="F12" s="510">
        <v>20</v>
      </c>
      <c r="G12" s="510">
        <v>20</v>
      </c>
      <c r="H12" s="511">
        <v>20</v>
      </c>
      <c r="I12" s="511">
        <v>20</v>
      </c>
      <c r="J12" s="511">
        <v>20</v>
      </c>
      <c r="K12" s="511">
        <v>15</v>
      </c>
      <c r="L12" s="511">
        <v>15</v>
      </c>
      <c r="M12" s="431">
        <v>5</v>
      </c>
      <c r="N12" s="435">
        <v>5</v>
      </c>
      <c r="O12" s="431">
        <v>1</v>
      </c>
      <c r="P12" s="431">
        <v>1</v>
      </c>
      <c r="Q12" s="431">
        <v>1</v>
      </c>
      <c r="R12" s="431">
        <v>1</v>
      </c>
      <c r="S12" s="431">
        <v>1</v>
      </c>
      <c r="T12" s="431">
        <v>1</v>
      </c>
      <c r="U12" s="431">
        <v>1</v>
      </c>
      <c r="V12" s="431">
        <v>1</v>
      </c>
      <c r="W12" s="431">
        <v>1</v>
      </c>
      <c r="X12" s="431">
        <v>1</v>
      </c>
      <c r="Y12" s="431">
        <v>1</v>
      </c>
      <c r="Z12" s="431">
        <v>1</v>
      </c>
    </row>
    <row r="13" spans="1:26" x14ac:dyDescent="0.3">
      <c r="A13" s="513" t="s">
        <v>220</v>
      </c>
      <c r="B13" s="510"/>
      <c r="C13" s="510"/>
      <c r="D13" s="510"/>
      <c r="E13" s="510"/>
      <c r="F13" s="510"/>
      <c r="G13" s="510">
        <v>20</v>
      </c>
      <c r="H13" s="511">
        <v>20</v>
      </c>
      <c r="I13" s="511">
        <v>20</v>
      </c>
      <c r="J13" s="511">
        <v>20</v>
      </c>
      <c r="K13" s="511">
        <v>15</v>
      </c>
      <c r="L13" s="511">
        <v>15</v>
      </c>
      <c r="M13" s="431">
        <v>5</v>
      </c>
      <c r="N13" s="437"/>
      <c r="O13" s="437">
        <v>1</v>
      </c>
      <c r="P13" s="437">
        <v>1</v>
      </c>
      <c r="Q13" s="437">
        <v>1</v>
      </c>
      <c r="R13" s="438">
        <v>1</v>
      </c>
      <c r="S13" s="437">
        <v>1</v>
      </c>
      <c r="T13" s="437">
        <v>1</v>
      </c>
      <c r="U13" s="437">
        <v>1</v>
      </c>
      <c r="V13" s="437">
        <v>1</v>
      </c>
      <c r="W13" s="431">
        <v>1</v>
      </c>
      <c r="X13" s="433">
        <v>1</v>
      </c>
      <c r="Y13" s="434">
        <v>1</v>
      </c>
      <c r="Z13" s="431">
        <v>1</v>
      </c>
    </row>
    <row r="14" spans="1:26" x14ac:dyDescent="0.3">
      <c r="A14" s="513" t="s">
        <v>221</v>
      </c>
      <c r="B14" s="510">
        <v>20</v>
      </c>
      <c r="C14" s="510">
        <v>20</v>
      </c>
      <c r="D14" s="510">
        <v>20</v>
      </c>
      <c r="E14" s="510">
        <v>20</v>
      </c>
      <c r="F14" s="510">
        <v>20</v>
      </c>
      <c r="G14" s="510">
        <v>20</v>
      </c>
      <c r="H14" s="511">
        <v>15</v>
      </c>
      <c r="I14" s="511">
        <v>20</v>
      </c>
      <c r="J14" s="511">
        <v>20</v>
      </c>
      <c r="K14" s="511">
        <v>15</v>
      </c>
      <c r="L14" s="511">
        <v>10</v>
      </c>
      <c r="M14" s="432">
        <v>20</v>
      </c>
      <c r="N14" s="431">
        <v>5</v>
      </c>
      <c r="O14" s="431">
        <v>1</v>
      </c>
      <c r="P14" s="431">
        <v>1</v>
      </c>
      <c r="Q14" s="431">
        <v>1</v>
      </c>
      <c r="R14" s="431">
        <v>1</v>
      </c>
      <c r="S14" s="431">
        <v>1</v>
      </c>
      <c r="T14" s="431">
        <v>1</v>
      </c>
      <c r="U14" s="431">
        <v>1</v>
      </c>
      <c r="V14" s="431">
        <v>1</v>
      </c>
      <c r="W14" s="434">
        <v>1</v>
      </c>
      <c r="X14" s="433">
        <v>1</v>
      </c>
      <c r="Y14" s="434">
        <v>1</v>
      </c>
      <c r="Z14" s="431">
        <v>1</v>
      </c>
    </row>
    <row r="15" spans="1:26" x14ac:dyDescent="0.3">
      <c r="A15" s="513" t="s">
        <v>222</v>
      </c>
      <c r="B15" s="510">
        <v>20</v>
      </c>
      <c r="C15" s="510">
        <v>20</v>
      </c>
      <c r="D15" s="510">
        <v>20</v>
      </c>
      <c r="E15" s="510">
        <v>20</v>
      </c>
      <c r="F15" s="510">
        <v>20</v>
      </c>
      <c r="G15" s="510">
        <v>20</v>
      </c>
      <c r="H15" s="511">
        <v>18</v>
      </c>
      <c r="I15" s="511">
        <v>20</v>
      </c>
      <c r="J15" s="511">
        <v>20</v>
      </c>
      <c r="K15" s="511">
        <v>20</v>
      </c>
      <c r="L15" s="511">
        <v>15</v>
      </c>
      <c r="M15" s="432">
        <v>10</v>
      </c>
      <c r="N15" s="431">
        <v>5</v>
      </c>
      <c r="O15" s="431">
        <v>1</v>
      </c>
      <c r="P15" s="431">
        <v>1</v>
      </c>
      <c r="Q15" s="431">
        <v>1</v>
      </c>
      <c r="R15" s="431">
        <v>1</v>
      </c>
      <c r="S15" s="431">
        <v>1</v>
      </c>
      <c r="T15" s="431">
        <v>1</v>
      </c>
      <c r="U15" s="431">
        <v>1</v>
      </c>
      <c r="V15" s="431">
        <v>1</v>
      </c>
      <c r="W15" s="431">
        <v>1</v>
      </c>
      <c r="X15" s="431">
        <v>1</v>
      </c>
      <c r="Y15" s="431">
        <v>1</v>
      </c>
      <c r="Z15" s="431">
        <v>1</v>
      </c>
    </row>
    <row r="16" spans="1:26" x14ac:dyDescent="0.3">
      <c r="A16" s="513" t="s">
        <v>223</v>
      </c>
      <c r="B16" s="510"/>
      <c r="C16" s="510"/>
      <c r="D16" s="510"/>
      <c r="E16" s="510"/>
      <c r="F16" s="510"/>
      <c r="G16" s="510">
        <v>5</v>
      </c>
      <c r="H16" s="511">
        <v>5</v>
      </c>
      <c r="I16" s="511">
        <v>10</v>
      </c>
      <c r="J16" s="511">
        <v>10</v>
      </c>
      <c r="K16" s="511">
        <v>10</v>
      </c>
      <c r="L16" s="511">
        <v>10</v>
      </c>
      <c r="M16" s="432">
        <v>0</v>
      </c>
      <c r="N16" s="431"/>
      <c r="O16" s="431">
        <v>1</v>
      </c>
      <c r="P16" s="431">
        <v>1</v>
      </c>
      <c r="Q16" s="431">
        <v>1</v>
      </c>
      <c r="R16" s="431">
        <v>1</v>
      </c>
      <c r="S16" s="431">
        <v>1</v>
      </c>
      <c r="T16" s="431">
        <v>1</v>
      </c>
      <c r="U16" s="431">
        <v>1</v>
      </c>
      <c r="V16" s="431">
        <v>1</v>
      </c>
      <c r="W16" s="434">
        <v>1</v>
      </c>
      <c r="X16" s="433">
        <v>1</v>
      </c>
      <c r="Y16" s="434">
        <v>1</v>
      </c>
      <c r="Z16" s="431">
        <v>1</v>
      </c>
    </row>
    <row r="17" spans="1:26" x14ac:dyDescent="0.3">
      <c r="A17" s="513" t="s">
        <v>224</v>
      </c>
      <c r="B17" s="510"/>
      <c r="C17" s="510"/>
      <c r="D17" s="510"/>
      <c r="E17" s="510"/>
      <c r="F17" s="510"/>
      <c r="G17" s="510">
        <v>10</v>
      </c>
      <c r="H17" s="512"/>
      <c r="I17" s="512"/>
      <c r="J17" s="512"/>
      <c r="K17" s="512"/>
      <c r="L17" s="512"/>
      <c r="M17" s="438"/>
      <c r="N17" s="431"/>
      <c r="O17" s="431"/>
      <c r="P17" s="431"/>
      <c r="Q17" s="431"/>
      <c r="R17" s="431"/>
      <c r="S17" s="431"/>
      <c r="T17" s="431"/>
      <c r="U17" s="431"/>
      <c r="V17" s="431"/>
      <c r="W17" s="434"/>
      <c r="X17" s="433"/>
      <c r="Y17" s="434"/>
      <c r="Z17" s="431"/>
    </row>
    <row r="18" spans="1:26" x14ac:dyDescent="0.3">
      <c r="A18" s="430" t="s">
        <v>105</v>
      </c>
      <c r="B18" s="510">
        <v>15</v>
      </c>
      <c r="C18" s="510">
        <v>15</v>
      </c>
      <c r="D18" s="510">
        <v>15</v>
      </c>
      <c r="E18" s="510">
        <v>15</v>
      </c>
      <c r="F18" s="510">
        <v>15</v>
      </c>
      <c r="G18" s="510">
        <v>15</v>
      </c>
      <c r="H18" s="512">
        <v>10</v>
      </c>
      <c r="I18" s="512">
        <v>10</v>
      </c>
      <c r="J18" s="512">
        <v>10</v>
      </c>
      <c r="K18" s="512">
        <v>15</v>
      </c>
      <c r="L18" s="512">
        <v>10</v>
      </c>
      <c r="M18" s="438">
        <v>10</v>
      </c>
      <c r="N18" s="431"/>
      <c r="O18" s="431"/>
      <c r="P18" s="431"/>
      <c r="Q18" s="431"/>
      <c r="R18" s="431"/>
      <c r="S18" s="431"/>
      <c r="T18" s="431"/>
      <c r="U18" s="431"/>
      <c r="V18" s="431"/>
      <c r="W18" s="434"/>
      <c r="X18" s="433"/>
      <c r="Y18" s="434"/>
      <c r="Z18" s="431"/>
    </row>
    <row r="19" spans="1:26" x14ac:dyDescent="0.3">
      <c r="A19" s="430" t="s">
        <v>225</v>
      </c>
      <c r="B19" s="510">
        <v>20</v>
      </c>
      <c r="C19" s="510">
        <v>20</v>
      </c>
      <c r="D19" s="510">
        <v>20</v>
      </c>
      <c r="E19" s="510">
        <v>20</v>
      </c>
      <c r="F19" s="510">
        <v>20</v>
      </c>
      <c r="G19" s="510">
        <v>20</v>
      </c>
      <c r="H19" s="512">
        <v>20</v>
      </c>
      <c r="I19" s="512">
        <v>10</v>
      </c>
      <c r="J19" s="512">
        <v>15</v>
      </c>
      <c r="K19" s="512">
        <v>10</v>
      </c>
      <c r="L19" s="512">
        <v>10</v>
      </c>
      <c r="M19" s="438">
        <v>5</v>
      </c>
      <c r="N19" s="436">
        <v>5</v>
      </c>
      <c r="O19" s="436">
        <v>1</v>
      </c>
      <c r="P19" s="436">
        <v>1</v>
      </c>
      <c r="Q19" s="436">
        <v>1</v>
      </c>
      <c r="R19" s="436">
        <v>1</v>
      </c>
      <c r="S19" s="436">
        <v>1</v>
      </c>
      <c r="T19" s="436">
        <v>1</v>
      </c>
      <c r="U19" s="436">
        <v>1</v>
      </c>
      <c r="V19" s="436">
        <v>1</v>
      </c>
      <c r="W19" s="436">
        <v>1</v>
      </c>
      <c r="X19" s="436">
        <v>1</v>
      </c>
      <c r="Y19" s="436">
        <v>1</v>
      </c>
      <c r="Z19" s="436">
        <v>1</v>
      </c>
    </row>
    <row r="20" spans="1:26" ht="15.6" x14ac:dyDescent="0.3">
      <c r="A20" s="522" t="s">
        <v>92</v>
      </c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>
        <v>28</v>
      </c>
      <c r="X20" s="165"/>
      <c r="Y20" s="165"/>
      <c r="Z20" s="165"/>
    </row>
    <row r="21" spans="1:26" ht="15.6" x14ac:dyDescent="0.3">
      <c r="A21" s="522" t="s">
        <v>93</v>
      </c>
      <c r="B21" s="165"/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>
        <v>4</v>
      </c>
      <c r="X21" s="165"/>
      <c r="Y21" s="165"/>
      <c r="Z21" s="165"/>
    </row>
    <row r="22" spans="1:26" ht="15.6" x14ac:dyDescent="0.3">
      <c r="A22" s="522" t="s">
        <v>88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</row>
    <row r="23" spans="1:26" x14ac:dyDescent="0.3">
      <c r="A23" s="170" t="s">
        <v>87</v>
      </c>
      <c r="B23" s="114">
        <f t="shared" ref="B23:N23" si="0">SUM(B7:B19)</f>
        <v>115</v>
      </c>
      <c r="C23" s="114">
        <f t="shared" si="0"/>
        <v>115</v>
      </c>
      <c r="D23" s="114">
        <f>SUM(D7:D19)</f>
        <v>125</v>
      </c>
      <c r="E23" s="114">
        <f t="shared" si="0"/>
        <v>135</v>
      </c>
      <c r="F23" s="114">
        <f t="shared" si="0"/>
        <v>165</v>
      </c>
      <c r="G23" s="114">
        <f t="shared" si="0"/>
        <v>220</v>
      </c>
      <c r="H23" s="114">
        <f t="shared" si="0"/>
        <v>180</v>
      </c>
      <c r="I23" s="114">
        <f t="shared" si="0"/>
        <v>188</v>
      </c>
      <c r="J23" s="114">
        <f t="shared" si="0"/>
        <v>193</v>
      </c>
      <c r="K23" s="114">
        <f t="shared" si="0"/>
        <v>145</v>
      </c>
      <c r="L23" s="114">
        <f t="shared" si="0"/>
        <v>110</v>
      </c>
      <c r="M23" s="114">
        <v>101</v>
      </c>
      <c r="N23" s="114">
        <f t="shared" si="0"/>
        <v>20</v>
      </c>
      <c r="O23" s="114">
        <f t="shared" ref="O23:Z23" si="1">SUM(O7:O19)</f>
        <v>6</v>
      </c>
      <c r="P23" s="114">
        <f t="shared" si="1"/>
        <v>6</v>
      </c>
      <c r="Q23" s="114">
        <f t="shared" si="1"/>
        <v>6</v>
      </c>
      <c r="R23" s="114">
        <f t="shared" si="1"/>
        <v>6</v>
      </c>
      <c r="S23" s="114">
        <f t="shared" si="1"/>
        <v>6</v>
      </c>
      <c r="T23" s="114">
        <f t="shared" si="1"/>
        <v>6</v>
      </c>
      <c r="U23" s="114">
        <f t="shared" si="1"/>
        <v>6</v>
      </c>
      <c r="V23" s="114">
        <f t="shared" si="1"/>
        <v>6</v>
      </c>
      <c r="W23" s="114">
        <f t="shared" si="1"/>
        <v>6</v>
      </c>
      <c r="X23" s="114">
        <f t="shared" si="1"/>
        <v>6</v>
      </c>
      <c r="Y23" s="114">
        <f t="shared" si="1"/>
        <v>6</v>
      </c>
      <c r="Z23" s="114">
        <f t="shared" si="1"/>
        <v>6</v>
      </c>
    </row>
    <row r="24" spans="1:26" x14ac:dyDescent="0.3">
      <c r="A24" s="168" t="s">
        <v>226</v>
      </c>
      <c r="B24" s="114">
        <f>SUM(B23:$Z$23)-B23</f>
        <v>1769</v>
      </c>
      <c r="C24" s="114">
        <f>SUM(C23:$Z$23)-C23</f>
        <v>1654</v>
      </c>
      <c r="D24" s="114">
        <f>SUM(D23:$Z$23)-D23</f>
        <v>1529</v>
      </c>
      <c r="E24" s="114">
        <f>SUM(E23:$Z$23)-E23</f>
        <v>1394</v>
      </c>
      <c r="F24" s="114">
        <f>SUM(F23:$Z$23)-F23</f>
        <v>1229</v>
      </c>
      <c r="G24" s="114">
        <f>SUM(G23:$Z$23)-G23</f>
        <v>1009</v>
      </c>
      <c r="H24" s="114">
        <f>SUM(H23:$Z$23)-H23</f>
        <v>829</v>
      </c>
      <c r="I24" s="114">
        <f>SUM(I23:$Z$23)-I23</f>
        <v>641</v>
      </c>
      <c r="J24" s="114">
        <f>SUM(J23:$Z$23)-J23</f>
        <v>448</v>
      </c>
      <c r="K24" s="114">
        <f>SUM(K23:$Z$23)-K23</f>
        <v>303</v>
      </c>
      <c r="L24" s="114">
        <f>SUM(L23:$Z$23)-L23</f>
        <v>193</v>
      </c>
      <c r="M24" s="114">
        <f>SUM(M23:$Z$23)-M23</f>
        <v>92</v>
      </c>
      <c r="N24" s="114">
        <f>SUM(N23:$Z$23)-N23</f>
        <v>72</v>
      </c>
      <c r="O24" s="114">
        <f>SUM(O23:$Z$23)-O23</f>
        <v>66</v>
      </c>
      <c r="P24" s="114">
        <f>SUM(P23:$Z$23)-P23</f>
        <v>60</v>
      </c>
      <c r="Q24" s="114">
        <f>SUM(Q23:$Z$23)-Q23</f>
        <v>54</v>
      </c>
      <c r="R24" s="114">
        <f>SUM(R23:$Z$23)-R23</f>
        <v>48</v>
      </c>
      <c r="S24" s="114">
        <f>SUM(S23:$Z$23)-S23</f>
        <v>42</v>
      </c>
      <c r="T24" s="114">
        <f>SUM(T23:$Z$23)-T23</f>
        <v>36</v>
      </c>
      <c r="U24" s="114">
        <f>SUM(U23:$Z$23)-U23</f>
        <v>30</v>
      </c>
      <c r="V24" s="114">
        <f>SUM(V23:$Z$23)-V23</f>
        <v>24</v>
      </c>
      <c r="W24" s="114">
        <f>SUM(W23:$Z$23)-W23</f>
        <v>18</v>
      </c>
      <c r="X24" s="114">
        <f>SUM(X23:$Z$23)-X23</f>
        <v>12</v>
      </c>
      <c r="Y24" s="114">
        <f>SUM(Y23:$Z$23)-Y23</f>
        <v>6</v>
      </c>
      <c r="Z24" s="114">
        <f>SUM(Z23:$Z$23)-Z23</f>
        <v>0</v>
      </c>
    </row>
    <row r="25" spans="1:26" x14ac:dyDescent="0.3">
      <c r="A25" s="22" t="s">
        <v>227</v>
      </c>
    </row>
    <row r="26" spans="1:26" x14ac:dyDescent="0.3">
      <c r="A26" s="430" t="s">
        <v>215</v>
      </c>
      <c r="B26" s="115">
        <f>B7*TCC!$C6</f>
        <v>0</v>
      </c>
      <c r="C26" s="115">
        <f>C7*TCC!$C6</f>
        <v>0</v>
      </c>
      <c r="D26" s="115">
        <f>D7*TCC!$C6</f>
        <v>0</v>
      </c>
      <c r="E26" s="115">
        <f>E7*TCC!$C6</f>
        <v>0</v>
      </c>
      <c r="F26" s="115">
        <f>F7*TCC!$C6</f>
        <v>2802.4242424242425</v>
      </c>
      <c r="G26" s="115">
        <f>G7*TCC!$C6</f>
        <v>2802.4242424242425</v>
      </c>
      <c r="H26" s="115">
        <f>H7*TCC!$C6</f>
        <v>2662.3030303030305</v>
      </c>
      <c r="I26" s="115">
        <f>I7*TCC!$C6</f>
        <v>2802.4242424242425</v>
      </c>
      <c r="J26" s="115">
        <f>J7*TCC!$C6</f>
        <v>2802.4242424242425</v>
      </c>
      <c r="K26" s="115">
        <f>K7*TCC!$C6</f>
        <v>0</v>
      </c>
      <c r="L26" s="115">
        <f>L7*TCC!$C6</f>
        <v>0</v>
      </c>
      <c r="M26" s="115">
        <f>M7*TCC!$E6</f>
        <v>0</v>
      </c>
      <c r="N26" s="115">
        <f>N7*TCC!$E6</f>
        <v>0</v>
      </c>
      <c r="O26" s="115">
        <f>O7*TCC!$E6</f>
        <v>0</v>
      </c>
      <c r="P26" s="115">
        <f>P7*TCC!$E6</f>
        <v>0</v>
      </c>
      <c r="Q26" s="115">
        <f>Q7*TCC!$E6</f>
        <v>0</v>
      </c>
      <c r="R26" s="115">
        <f>R7*TCC!$E6</f>
        <v>0</v>
      </c>
      <c r="S26" s="115">
        <f>S7*TCC!$E6</f>
        <v>0</v>
      </c>
      <c r="T26" s="115">
        <f>T7*TCC!$E6</f>
        <v>0</v>
      </c>
      <c r="U26" s="115">
        <f>U7*TCC!$E6</f>
        <v>0</v>
      </c>
      <c r="V26" s="115">
        <f>V7*TCC!$E6</f>
        <v>0</v>
      </c>
      <c r="W26" s="115">
        <f>W7*TCC!$E6</f>
        <v>0</v>
      </c>
      <c r="X26" s="115">
        <f>X7*TCC!$E6</f>
        <v>0</v>
      </c>
      <c r="Y26" s="115">
        <f>Y7*TCC!$E6</f>
        <v>0</v>
      </c>
      <c r="Z26" s="115">
        <f>Z7*TCC!$E6</f>
        <v>0</v>
      </c>
    </row>
    <row r="27" spans="1:26" x14ac:dyDescent="0.3">
      <c r="A27" s="430" t="s">
        <v>104</v>
      </c>
      <c r="B27" s="115">
        <f>B8*TCC!$C7</f>
        <v>0</v>
      </c>
      <c r="C27" s="115">
        <f>C8*TCC!$C7</f>
        <v>0</v>
      </c>
      <c r="D27" s="115">
        <f>D8*TCC!$C7</f>
        <v>2558.429681818182</v>
      </c>
      <c r="E27" s="115">
        <f>E8*TCC!$C7</f>
        <v>0</v>
      </c>
      <c r="F27" s="115">
        <f>F8*TCC!$C7</f>
        <v>2558.429681818182</v>
      </c>
      <c r="G27" s="115">
        <f>G8*TCC!$C7</f>
        <v>5116.8593636363639</v>
      </c>
      <c r="H27" s="115">
        <f>H8*TCC!$C7</f>
        <v>3837.6445227272725</v>
      </c>
      <c r="I27" s="115">
        <f>I8*TCC!$C7</f>
        <v>5116.8593636363639</v>
      </c>
      <c r="J27" s="115">
        <f>J8*TCC!$C7</f>
        <v>5116.8593636363639</v>
      </c>
      <c r="K27" s="115">
        <f>K8*TCC!$C7</f>
        <v>0</v>
      </c>
      <c r="L27" s="115">
        <f>L8*TCC!$C7</f>
        <v>0</v>
      </c>
      <c r="M27" s="115">
        <f>M8*TCC!$E7</f>
        <v>0</v>
      </c>
      <c r="N27" s="115">
        <f>N8*TCC!$E7</f>
        <v>0</v>
      </c>
      <c r="O27" s="115">
        <f>O8*TCC!$E7</f>
        <v>0</v>
      </c>
      <c r="P27" s="115">
        <f>P8*TCC!$E7</f>
        <v>0</v>
      </c>
      <c r="Q27" s="115">
        <f>Q8*TCC!$E7</f>
        <v>0</v>
      </c>
      <c r="R27" s="115">
        <f>R8*TCC!$E7</f>
        <v>0</v>
      </c>
      <c r="S27" s="115">
        <f>S8*TCC!$E7</f>
        <v>0</v>
      </c>
      <c r="T27" s="115">
        <f>T8*TCC!$E7</f>
        <v>0</v>
      </c>
      <c r="U27" s="115">
        <f>U8*TCC!$E7</f>
        <v>0</v>
      </c>
      <c r="V27" s="115">
        <f>V8*TCC!$E7</f>
        <v>0</v>
      </c>
      <c r="W27" s="115">
        <f>W8*TCC!$E7</f>
        <v>0</v>
      </c>
      <c r="X27" s="115">
        <f>X8*TCC!$E7</f>
        <v>0</v>
      </c>
      <c r="Y27" s="115">
        <f>Y8*TCC!$E7</f>
        <v>0</v>
      </c>
      <c r="Z27" s="115">
        <f>Z8*TCC!$E7</f>
        <v>0</v>
      </c>
    </row>
    <row r="28" spans="1:26" x14ac:dyDescent="0.3">
      <c r="A28" s="430" t="s">
        <v>216</v>
      </c>
      <c r="B28" s="115">
        <f>B9*TCC!$C8</f>
        <v>0</v>
      </c>
      <c r="C28" s="115">
        <f>C9*TCC!$C8</f>
        <v>0</v>
      </c>
      <c r="D28" s="115">
        <f>D9*TCC!$C8</f>
        <v>0</v>
      </c>
      <c r="E28" s="115">
        <f>E9*TCC!$C8</f>
        <v>4647.6385000000009</v>
      </c>
      <c r="F28" s="115">
        <f>F9*TCC!$C8</f>
        <v>4647.6385000000009</v>
      </c>
      <c r="G28" s="115">
        <f>G9*TCC!$C8</f>
        <v>4647.6385000000009</v>
      </c>
      <c r="H28" s="115">
        <f>H9*TCC!$C8</f>
        <v>4182.8746500000007</v>
      </c>
      <c r="I28" s="115">
        <f>I9*TCC!$C8</f>
        <v>4182.8746500000007</v>
      </c>
      <c r="J28" s="115">
        <f>J9*TCC!$C8</f>
        <v>4182.8746500000007</v>
      </c>
      <c r="K28" s="115">
        <f>K9*TCC!$C8</f>
        <v>2323.8192500000005</v>
      </c>
      <c r="L28" s="115">
        <f>L9*TCC!$C8</f>
        <v>1161.9096250000002</v>
      </c>
      <c r="M28" s="115">
        <f>M9*TCC!$E8</f>
        <v>0</v>
      </c>
      <c r="N28" s="115">
        <f>N9*TCC!$E8</f>
        <v>0</v>
      </c>
      <c r="O28" s="115">
        <f>O9*TCC!$E8</f>
        <v>0</v>
      </c>
      <c r="P28" s="115">
        <f>P9*TCC!$E8</f>
        <v>0</v>
      </c>
      <c r="Q28" s="115">
        <f>Q9*TCC!$E8</f>
        <v>0</v>
      </c>
      <c r="R28" s="115">
        <f>R9*TCC!$E8</f>
        <v>0</v>
      </c>
      <c r="S28" s="115">
        <f>S9*TCC!$E8</f>
        <v>0</v>
      </c>
      <c r="T28" s="115">
        <f>T9*TCC!$E8</f>
        <v>0</v>
      </c>
      <c r="U28" s="115">
        <f>U9*TCC!$E8</f>
        <v>0</v>
      </c>
      <c r="V28" s="115">
        <f>V9*TCC!$E8</f>
        <v>0</v>
      </c>
      <c r="W28" s="115">
        <f>W9*TCC!$E8</f>
        <v>0</v>
      </c>
      <c r="X28" s="115">
        <f>X9*TCC!$E8</f>
        <v>0</v>
      </c>
      <c r="Y28" s="115">
        <f>Y9*TCC!$E8</f>
        <v>0</v>
      </c>
      <c r="Z28" s="115">
        <f>Z9*TCC!$E8</f>
        <v>0</v>
      </c>
    </row>
    <row r="29" spans="1:26" x14ac:dyDescent="0.3">
      <c r="A29" s="430" t="s">
        <v>217</v>
      </c>
      <c r="B29" s="115">
        <f>B10*TCC!$C9</f>
        <v>0</v>
      </c>
      <c r="C29" s="115">
        <f>C10*TCC!$C9</f>
        <v>0</v>
      </c>
      <c r="D29" s="115">
        <f>D10*TCC!$C9</f>
        <v>0</v>
      </c>
      <c r="E29" s="115">
        <f>E10*TCC!$C9</f>
        <v>0</v>
      </c>
      <c r="F29" s="115">
        <f>F10*TCC!$C9</f>
        <v>0</v>
      </c>
      <c r="G29" s="115">
        <f>G10*TCC!$C9</f>
        <v>6067.123414251515</v>
      </c>
      <c r="H29" s="115">
        <f>H10*TCC!$C9</f>
        <v>6067.123414251515</v>
      </c>
      <c r="I29" s="115">
        <f>I10*TCC!$C9</f>
        <v>6067.123414251515</v>
      </c>
      <c r="J29" s="115">
        <f>J10*TCC!$C9</f>
        <v>6067.123414251515</v>
      </c>
      <c r="K29" s="115">
        <f>K10*TCC!$C9</f>
        <v>12134.24682850303</v>
      </c>
      <c r="L29" s="115">
        <f>L10*TCC!$C9</f>
        <v>6067.123414251515</v>
      </c>
      <c r="M29" s="115">
        <f>M10*TCC!$E9</f>
        <v>0</v>
      </c>
      <c r="N29" s="115">
        <f>N10*TCC!$E9</f>
        <v>0</v>
      </c>
      <c r="O29" s="115">
        <f>O10*TCC!$E9</f>
        <v>0</v>
      </c>
      <c r="P29" s="115">
        <f>P10*TCC!$E9</f>
        <v>0</v>
      </c>
      <c r="Q29" s="115">
        <f>Q10*TCC!$E9</f>
        <v>0</v>
      </c>
      <c r="R29" s="115">
        <f>R10*TCC!$E9</f>
        <v>0</v>
      </c>
      <c r="S29" s="115">
        <f>S10*TCC!$E9</f>
        <v>0</v>
      </c>
      <c r="T29" s="115">
        <f>T10*TCC!$E9</f>
        <v>0</v>
      </c>
      <c r="U29" s="115">
        <f>U10*TCC!$E9</f>
        <v>0</v>
      </c>
      <c r="V29" s="115">
        <f>V10*TCC!$E9</f>
        <v>0</v>
      </c>
      <c r="W29" s="115">
        <f>W10*TCC!$E9</f>
        <v>0</v>
      </c>
      <c r="X29" s="115">
        <f>X10*TCC!$E9</f>
        <v>0</v>
      </c>
      <c r="Y29" s="115">
        <f>Y10*TCC!$E9</f>
        <v>0</v>
      </c>
      <c r="Z29" s="115">
        <f>Z10*TCC!$E9</f>
        <v>0</v>
      </c>
    </row>
    <row r="30" spans="1:26" x14ac:dyDescent="0.3">
      <c r="A30" s="430" t="s">
        <v>218</v>
      </c>
      <c r="B30" s="115">
        <f>B11*TCC!$C10</f>
        <v>9698.0997272727273</v>
      </c>
      <c r="C30" s="115">
        <f>C11*TCC!$C10</f>
        <v>9698.0997272727273</v>
      </c>
      <c r="D30" s="115">
        <f>D11*TCC!$C10</f>
        <v>9698.0997272727273</v>
      </c>
      <c r="E30" s="115">
        <f>E11*TCC!$C10</f>
        <v>9698.0997272727273</v>
      </c>
      <c r="F30" s="115">
        <f>F11*TCC!$C10</f>
        <v>9698.0997272727273</v>
      </c>
      <c r="G30" s="115">
        <f>G11*TCC!$C10</f>
        <v>9698.0997272727273</v>
      </c>
      <c r="H30" s="115">
        <f>H11*TCC!$C10</f>
        <v>4849.0498636363636</v>
      </c>
      <c r="I30" s="115">
        <f>I11*TCC!$C10</f>
        <v>4849.0498636363636</v>
      </c>
      <c r="J30" s="115">
        <f>J11*TCC!$C10</f>
        <v>4849.0498636363636</v>
      </c>
      <c r="K30" s="115">
        <f>K11*TCC!$C10</f>
        <v>7273.5747954545459</v>
      </c>
      <c r="L30" s="115">
        <f>L11*TCC!$C10</f>
        <v>4849.0498636363636</v>
      </c>
      <c r="M30" s="115">
        <f>M11*TCC!$E10</f>
        <v>9079.82735125</v>
      </c>
      <c r="N30" s="115">
        <f>N11*TCC!$E10</f>
        <v>0</v>
      </c>
      <c r="O30" s="115">
        <f>O11*TCC!$E10</f>
        <v>0</v>
      </c>
      <c r="P30" s="115">
        <f>P11*TCC!$E10</f>
        <v>0</v>
      </c>
      <c r="Q30" s="115">
        <f>Q11*TCC!$E10</f>
        <v>0</v>
      </c>
      <c r="R30" s="115">
        <f>R11*TCC!$E10</f>
        <v>0</v>
      </c>
      <c r="S30" s="115">
        <f>S11*TCC!$E10</f>
        <v>0</v>
      </c>
      <c r="T30" s="115">
        <f>T11*TCC!$E10</f>
        <v>0</v>
      </c>
      <c r="U30" s="115">
        <f>U11*TCC!$E10</f>
        <v>0</v>
      </c>
      <c r="V30" s="115">
        <f>V11*TCC!$E10</f>
        <v>0</v>
      </c>
      <c r="W30" s="115">
        <f>W11*TCC!$E10</f>
        <v>0</v>
      </c>
      <c r="X30" s="115">
        <f>X11*TCC!$E10</f>
        <v>0</v>
      </c>
      <c r="Y30" s="115">
        <f>Y11*TCC!$E10</f>
        <v>0</v>
      </c>
      <c r="Z30" s="115">
        <f>Z11*TCC!$E10</f>
        <v>0</v>
      </c>
    </row>
    <row r="31" spans="1:26" x14ac:dyDescent="0.3">
      <c r="A31" s="430" t="s">
        <v>219</v>
      </c>
      <c r="B31" s="115">
        <f>B12*TCC!$C11</f>
        <v>7900.8770722181825</v>
      </c>
      <c r="C31" s="115">
        <f>C12*TCC!$C11</f>
        <v>7900.8770722181825</v>
      </c>
      <c r="D31" s="115">
        <f>D12*TCC!$C11</f>
        <v>7900.8770722181825</v>
      </c>
      <c r="E31" s="115">
        <f>E12*TCC!$C11</f>
        <v>7900.8770722181825</v>
      </c>
      <c r="F31" s="115">
        <f>F12*TCC!$C11</f>
        <v>7900.8770722181825</v>
      </c>
      <c r="G31" s="115">
        <f>G12*TCC!$C11</f>
        <v>7900.8770722181825</v>
      </c>
      <c r="H31" s="115">
        <f>H12*TCC!$C11</f>
        <v>7900.8770722181825</v>
      </c>
      <c r="I31" s="115">
        <f>I12*TCC!$C11</f>
        <v>7900.8770722181825</v>
      </c>
      <c r="J31" s="115">
        <f>J12*TCC!$C11</f>
        <v>7900.8770722181825</v>
      </c>
      <c r="K31" s="115">
        <f>K12*TCC!$C11</f>
        <v>5925.6578041636367</v>
      </c>
      <c r="L31" s="115">
        <f>L12*TCC!$C11</f>
        <v>5925.6578041636367</v>
      </c>
      <c r="M31" s="115">
        <f>M12*TCC!$E11</f>
        <v>2332.1900256475001</v>
      </c>
      <c r="N31" s="115">
        <f>N12*TCC!$E11</f>
        <v>2332.1900256475001</v>
      </c>
      <c r="O31" s="115">
        <f>O12*TCC!$E11</f>
        <v>466.43800512950003</v>
      </c>
      <c r="P31" s="115">
        <f>P12*TCC!$E11</f>
        <v>466.43800512950003</v>
      </c>
      <c r="Q31" s="115">
        <f>Q12*TCC!$E11</f>
        <v>466.43800512950003</v>
      </c>
      <c r="R31" s="115">
        <f>R12*TCC!$E11</f>
        <v>466.43800512950003</v>
      </c>
      <c r="S31" s="115">
        <f>S12*TCC!$E11</f>
        <v>466.43800512950003</v>
      </c>
      <c r="T31" s="115">
        <f>T12*TCC!$E11</f>
        <v>466.43800512950003</v>
      </c>
      <c r="U31" s="115">
        <f>U12*TCC!$E11</f>
        <v>466.43800512950003</v>
      </c>
      <c r="V31" s="115">
        <f>V12*TCC!$E11</f>
        <v>466.43800512950003</v>
      </c>
      <c r="W31" s="115">
        <f>W12*TCC!$E11</f>
        <v>466.43800512950003</v>
      </c>
      <c r="X31" s="115">
        <f>X12*TCC!$E11</f>
        <v>466.43800512950003</v>
      </c>
      <c r="Y31" s="115">
        <f>Y12*TCC!$E11</f>
        <v>466.43800512950003</v>
      </c>
      <c r="Z31" s="115">
        <f>Z12*TCC!$E11</f>
        <v>466.43800512950003</v>
      </c>
    </row>
    <row r="32" spans="1:26" x14ac:dyDescent="0.3">
      <c r="A32" s="430" t="s">
        <v>220</v>
      </c>
      <c r="B32" s="115">
        <f>B13*TCC!$C12</f>
        <v>0</v>
      </c>
      <c r="C32" s="115">
        <f>C13*TCC!$C12</f>
        <v>0</v>
      </c>
      <c r="D32" s="115">
        <f>D13*TCC!$C12</f>
        <v>0</v>
      </c>
      <c r="E32" s="115">
        <f>E13*TCC!$C12</f>
        <v>0</v>
      </c>
      <c r="F32" s="115">
        <f>F13*TCC!$C12</f>
        <v>0</v>
      </c>
      <c r="G32" s="115">
        <f>G13*TCC!$C12</f>
        <v>3090.9090909090905</v>
      </c>
      <c r="H32" s="115">
        <f>H13*TCC!$C12</f>
        <v>3090.9090909090905</v>
      </c>
      <c r="I32" s="115">
        <f>I13*TCC!$C12</f>
        <v>3090.9090909090905</v>
      </c>
      <c r="J32" s="115">
        <f>J13*TCC!$C12</f>
        <v>3090.9090909090905</v>
      </c>
      <c r="K32" s="115">
        <f>K13*TCC!$C12</f>
        <v>2318.181818181818</v>
      </c>
      <c r="L32" s="115">
        <f>L13*TCC!$C12</f>
        <v>2318.181818181818</v>
      </c>
      <c r="M32" s="115">
        <f>M13*TCC!$E12</f>
        <v>1604.0125037441669</v>
      </c>
      <c r="N32" s="115">
        <f>N13*TCC!$E12</f>
        <v>0</v>
      </c>
      <c r="O32" s="115">
        <f>O13*TCC!$E12</f>
        <v>320.80250074883338</v>
      </c>
      <c r="P32" s="115">
        <f>P13*TCC!$E12</f>
        <v>320.80250074883338</v>
      </c>
      <c r="Q32" s="115">
        <f>Q13*TCC!$E12</f>
        <v>320.80250074883338</v>
      </c>
      <c r="R32" s="115">
        <f>R13*TCC!$E12</f>
        <v>320.80250074883338</v>
      </c>
      <c r="S32" s="115">
        <f>S13*TCC!$E12</f>
        <v>320.80250074883338</v>
      </c>
      <c r="T32" s="115">
        <f>T13*TCC!$E12</f>
        <v>320.80250074883338</v>
      </c>
      <c r="U32" s="115">
        <f>U13*TCC!$E12</f>
        <v>320.80250074883338</v>
      </c>
      <c r="V32" s="115">
        <f>V13*TCC!$E12</f>
        <v>320.80250074883338</v>
      </c>
      <c r="W32" s="115">
        <f>W13*TCC!$E12</f>
        <v>320.80250074883338</v>
      </c>
      <c r="X32" s="115">
        <f>X13*TCC!$E12</f>
        <v>320.80250074883338</v>
      </c>
      <c r="Y32" s="115">
        <f>Y13*TCC!$E12</f>
        <v>320.80250074883338</v>
      </c>
      <c r="Z32" s="115">
        <f>Z13*TCC!$E12</f>
        <v>320.80250074883338</v>
      </c>
    </row>
    <row r="33" spans="1:26" x14ac:dyDescent="0.3">
      <c r="A33" s="430" t="s">
        <v>221</v>
      </c>
      <c r="B33" s="115">
        <f>B14*TCC!$C13</f>
        <v>2928.636363636364</v>
      </c>
      <c r="C33" s="115">
        <f>C14*TCC!$C13</f>
        <v>2928.636363636364</v>
      </c>
      <c r="D33" s="115">
        <f>D14*TCC!$C13</f>
        <v>2928.636363636364</v>
      </c>
      <c r="E33" s="115">
        <f>E14*TCC!$C13</f>
        <v>2928.636363636364</v>
      </c>
      <c r="F33" s="115">
        <f>F14*TCC!$C13</f>
        <v>2928.636363636364</v>
      </c>
      <c r="G33" s="115">
        <f>G14*TCC!$C13</f>
        <v>2928.636363636364</v>
      </c>
      <c r="H33" s="115">
        <f>H14*TCC!$C13</f>
        <v>2196.477272727273</v>
      </c>
      <c r="I33" s="115">
        <f>I14*TCC!$C13</f>
        <v>2928.636363636364</v>
      </c>
      <c r="J33" s="115">
        <f>J14*TCC!$C13</f>
        <v>2928.636363636364</v>
      </c>
      <c r="K33" s="115">
        <f>K14*TCC!$C13</f>
        <v>2196.477272727273</v>
      </c>
      <c r="L33" s="115">
        <f>L14*TCC!$C13</f>
        <v>1464.318181818182</v>
      </c>
      <c r="M33" s="115">
        <f>M14*TCC!$E13</f>
        <v>5950.4458136666672</v>
      </c>
      <c r="N33" s="115">
        <f>N14*TCC!$E13</f>
        <v>1487.6114534166668</v>
      </c>
      <c r="O33" s="115">
        <f>O14*TCC!$E13</f>
        <v>297.52229068333338</v>
      </c>
      <c r="P33" s="115">
        <f>P14*TCC!$E13</f>
        <v>297.52229068333338</v>
      </c>
      <c r="Q33" s="115">
        <f>Q14*TCC!$E13</f>
        <v>297.52229068333338</v>
      </c>
      <c r="R33" s="115">
        <f>R14*TCC!$E13</f>
        <v>297.52229068333338</v>
      </c>
      <c r="S33" s="115">
        <f>S14*TCC!$E13</f>
        <v>297.52229068333338</v>
      </c>
      <c r="T33" s="115">
        <f>T14*TCC!$E13</f>
        <v>297.52229068333338</v>
      </c>
      <c r="U33" s="115">
        <f>U14*TCC!$E13</f>
        <v>297.52229068333338</v>
      </c>
      <c r="V33" s="115">
        <f>V14*TCC!$E13</f>
        <v>297.52229068333338</v>
      </c>
      <c r="W33" s="115">
        <f>W14*TCC!$E13</f>
        <v>297.52229068333338</v>
      </c>
      <c r="X33" s="115">
        <f>X14*TCC!$E13</f>
        <v>297.52229068333338</v>
      </c>
      <c r="Y33" s="115">
        <f>Y14*TCC!$E13</f>
        <v>297.52229068333338</v>
      </c>
      <c r="Z33" s="115">
        <f>Z14*TCC!$E13</f>
        <v>297.52229068333338</v>
      </c>
    </row>
    <row r="34" spans="1:26" x14ac:dyDescent="0.3">
      <c r="A34" s="430" t="s">
        <v>222</v>
      </c>
      <c r="B34" s="115">
        <f>B15*TCC!$C14</f>
        <v>4587.0033636363642</v>
      </c>
      <c r="C34" s="115">
        <f>C15*TCC!$C14</f>
        <v>4587.0033636363642</v>
      </c>
      <c r="D34" s="115">
        <f>D15*TCC!$C14</f>
        <v>4587.0033636363642</v>
      </c>
      <c r="E34" s="115">
        <f>E15*TCC!$C14</f>
        <v>4587.0033636363642</v>
      </c>
      <c r="F34" s="115">
        <f>F15*TCC!$C14</f>
        <v>4587.0033636363642</v>
      </c>
      <c r="G34" s="115">
        <f>G15*TCC!$C14</f>
        <v>4587.0033636363642</v>
      </c>
      <c r="H34" s="115">
        <f>H15*TCC!$C14</f>
        <v>4128.3030272727274</v>
      </c>
      <c r="I34" s="115">
        <f>I15*TCC!$C14</f>
        <v>4587.0033636363642</v>
      </c>
      <c r="J34" s="115">
        <f>J15*TCC!$C14</f>
        <v>4587.0033636363642</v>
      </c>
      <c r="K34" s="115">
        <f>K15*TCC!$C14</f>
        <v>4587.0033636363642</v>
      </c>
      <c r="L34" s="115">
        <f>L15*TCC!$C14</f>
        <v>3440.2525227272727</v>
      </c>
      <c r="M34" s="115">
        <f>M15*TCC!$E14</f>
        <v>3437.6271658149999</v>
      </c>
      <c r="N34" s="115">
        <f>N15*TCC!$E14</f>
        <v>1718.8135829074999</v>
      </c>
      <c r="O34" s="115">
        <f>O15*TCC!$E14</f>
        <v>343.7627165815</v>
      </c>
      <c r="P34" s="115">
        <f>P15*TCC!$E14</f>
        <v>343.7627165815</v>
      </c>
      <c r="Q34" s="115">
        <f>Q15*TCC!$E14</f>
        <v>343.7627165815</v>
      </c>
      <c r="R34" s="115">
        <f>R15*TCC!$E14</f>
        <v>343.7627165815</v>
      </c>
      <c r="S34" s="115">
        <f>S15*TCC!$E14</f>
        <v>343.7627165815</v>
      </c>
      <c r="T34" s="115">
        <f>T15*TCC!$E14</f>
        <v>343.7627165815</v>
      </c>
      <c r="U34" s="115">
        <f>U15*TCC!$E14</f>
        <v>343.7627165815</v>
      </c>
      <c r="V34" s="115">
        <f>V15*TCC!$E14</f>
        <v>343.7627165815</v>
      </c>
      <c r="W34" s="115">
        <f>W15*TCC!$E14</f>
        <v>343.7627165815</v>
      </c>
      <c r="X34" s="115">
        <f>X15*TCC!$E14</f>
        <v>343.7627165815</v>
      </c>
      <c r="Y34" s="115">
        <f>Y15*TCC!$E14</f>
        <v>343.7627165815</v>
      </c>
      <c r="Z34" s="115">
        <f>Z15*TCC!$E14</f>
        <v>343.7627165815</v>
      </c>
    </row>
    <row r="35" spans="1:26" x14ac:dyDescent="0.3">
      <c r="A35" s="430" t="s">
        <v>223</v>
      </c>
      <c r="B35" s="115">
        <f>B16*TCC!$C15</f>
        <v>0</v>
      </c>
      <c r="C35" s="115">
        <f>C16*TCC!$C15</f>
        <v>0</v>
      </c>
      <c r="D35" s="115">
        <f>D16*TCC!$C15</f>
        <v>0</v>
      </c>
      <c r="E35" s="115">
        <f>E16*TCC!$C15</f>
        <v>0</v>
      </c>
      <c r="F35" s="115">
        <f>F16*TCC!$C15</f>
        <v>0</v>
      </c>
      <c r="G35" s="115">
        <f>G16*TCC!$C15</f>
        <v>4845.3368335825762</v>
      </c>
      <c r="H35" s="115">
        <f>H16*TCC!$C15</f>
        <v>4845.3368335825762</v>
      </c>
      <c r="I35" s="115">
        <f>I16*TCC!$C15</f>
        <v>9690.6736671651524</v>
      </c>
      <c r="J35" s="115">
        <f>J16*TCC!$C15</f>
        <v>9690.6736671651524</v>
      </c>
      <c r="K35" s="115">
        <f>K16*TCC!$C15</f>
        <v>9690.6736671651524</v>
      </c>
      <c r="L35" s="115">
        <f>L16*TCC!$C15</f>
        <v>9690.6736671651524</v>
      </c>
      <c r="M35" s="115">
        <f>M16*TCC!$E15</f>
        <v>0</v>
      </c>
      <c r="N35" s="115">
        <f>N16*TCC!$E15</f>
        <v>0</v>
      </c>
      <c r="O35" s="115">
        <f>O16*TCC!$E15</f>
        <v>958.42999244999987</v>
      </c>
      <c r="P35" s="115">
        <f>P16*TCC!$E15</f>
        <v>958.42999244999987</v>
      </c>
      <c r="Q35" s="115">
        <f>Q16*TCC!$E15</f>
        <v>958.42999244999987</v>
      </c>
      <c r="R35" s="115">
        <f>R16*TCC!$E15</f>
        <v>958.42999244999987</v>
      </c>
      <c r="S35" s="115">
        <f>S16*TCC!$E15</f>
        <v>958.42999244999987</v>
      </c>
      <c r="T35" s="115">
        <f>T16*TCC!$E15</f>
        <v>958.42999244999987</v>
      </c>
      <c r="U35" s="115">
        <f>U16*TCC!$E15</f>
        <v>958.42999244999987</v>
      </c>
      <c r="V35" s="115">
        <f>V16*TCC!$E15</f>
        <v>958.42999244999987</v>
      </c>
      <c r="W35" s="115">
        <f>W16*TCC!$E15</f>
        <v>958.42999244999987</v>
      </c>
      <c r="X35" s="115">
        <f>X16*TCC!$E15</f>
        <v>958.42999244999987</v>
      </c>
      <c r="Y35" s="115">
        <f>Y16*TCC!$E15</f>
        <v>958.42999244999987</v>
      </c>
      <c r="Z35" s="115">
        <f>Z16*TCC!$E15</f>
        <v>958.42999244999987</v>
      </c>
    </row>
    <row r="36" spans="1:26" x14ac:dyDescent="0.3">
      <c r="A36" s="430" t="s">
        <v>224</v>
      </c>
      <c r="B36" s="115">
        <f>B17*TCC!$C16</f>
        <v>0</v>
      </c>
      <c r="C36" s="115">
        <f>C17*TCC!$C16</f>
        <v>0</v>
      </c>
      <c r="D36" s="115">
        <f>D17*TCC!$C16</f>
        <v>0</v>
      </c>
      <c r="E36" s="115">
        <f>E17*TCC!$C16</f>
        <v>0</v>
      </c>
      <c r="F36" s="115">
        <f>F17*TCC!$C16</f>
        <v>0</v>
      </c>
      <c r="G36" s="115">
        <f>G17*TCC!$C16</f>
        <v>1594.5459090909092</v>
      </c>
      <c r="H36" s="115">
        <f>H17*TCC!$C16</f>
        <v>0</v>
      </c>
      <c r="I36" s="115">
        <f>I17*TCC!$C16</f>
        <v>0</v>
      </c>
      <c r="J36" s="115">
        <f>J17*TCC!$C16</f>
        <v>0</v>
      </c>
      <c r="K36" s="115">
        <f>K17*TCC!$C16</f>
        <v>0</v>
      </c>
      <c r="L36" s="115">
        <f>L17*TCC!$C16</f>
        <v>0</v>
      </c>
      <c r="M36" s="115">
        <f>M17*TCC!$E16</f>
        <v>0</v>
      </c>
      <c r="N36" s="115">
        <f>N17*TCC!$E16</f>
        <v>0</v>
      </c>
      <c r="O36" s="115">
        <f>O17*TCC!$E16</f>
        <v>0</v>
      </c>
      <c r="P36" s="115">
        <f>P17*TCC!$E16</f>
        <v>0</v>
      </c>
      <c r="Q36" s="115">
        <f>Q17*TCC!$E16</f>
        <v>0</v>
      </c>
      <c r="R36" s="115">
        <f>R17*TCC!$E16</f>
        <v>0</v>
      </c>
      <c r="S36" s="115">
        <f>S17*TCC!$E16</f>
        <v>0</v>
      </c>
      <c r="T36" s="115">
        <f>T17*TCC!$E16</f>
        <v>0</v>
      </c>
      <c r="U36" s="115">
        <f>U17*TCC!$E16</f>
        <v>0</v>
      </c>
      <c r="V36" s="115">
        <f>V17*TCC!$E16</f>
        <v>0</v>
      </c>
      <c r="W36" s="115">
        <f>W17*TCC!$E16</f>
        <v>0</v>
      </c>
      <c r="X36" s="115">
        <f>X17*TCC!$E16</f>
        <v>0</v>
      </c>
      <c r="Y36" s="115">
        <f>Y17*TCC!$E16</f>
        <v>0</v>
      </c>
      <c r="Z36" s="115">
        <f>Z17*TCC!$E16</f>
        <v>0</v>
      </c>
    </row>
    <row r="37" spans="1:26" x14ac:dyDescent="0.3">
      <c r="A37" s="430" t="s">
        <v>105</v>
      </c>
      <c r="B37" s="115">
        <f>B18*TCC!$C17</f>
        <v>10739.582767909089</v>
      </c>
      <c r="C37" s="115">
        <f>C18*TCC!$C17</f>
        <v>10739.582767909089</v>
      </c>
      <c r="D37" s="115">
        <f>D18*TCC!$C17</f>
        <v>10739.582767909089</v>
      </c>
      <c r="E37" s="115">
        <f>E18*TCC!$C17</f>
        <v>10739.582767909089</v>
      </c>
      <c r="F37" s="115">
        <f>F18*TCC!$C17</f>
        <v>10739.582767909089</v>
      </c>
      <c r="G37" s="115">
        <f>G18*TCC!$C17</f>
        <v>10739.582767909089</v>
      </c>
      <c r="H37" s="115">
        <f>H18*TCC!$C17</f>
        <v>7159.7218452727257</v>
      </c>
      <c r="I37" s="115">
        <f>I18*TCC!$C17</f>
        <v>7159.7218452727257</v>
      </c>
      <c r="J37" s="115">
        <f>J18*TCC!$C17</f>
        <v>7159.7218452727257</v>
      </c>
      <c r="K37" s="115">
        <f>K18*TCC!$C17</f>
        <v>10739.582767909089</v>
      </c>
      <c r="L37" s="115">
        <f>L18*TCC!$C17</f>
        <v>7159.7218452727257</v>
      </c>
      <c r="M37" s="115">
        <f>M18*TCC!$E17</f>
        <v>8651.0883519833333</v>
      </c>
      <c r="N37" s="115">
        <f>N18*TCC!$E17</f>
        <v>0</v>
      </c>
      <c r="O37" s="115">
        <f>O18*TCC!$E17</f>
        <v>0</v>
      </c>
      <c r="P37" s="115">
        <f>P18*TCC!$E17</f>
        <v>0</v>
      </c>
      <c r="Q37" s="115">
        <f>Q18*TCC!$E17</f>
        <v>0</v>
      </c>
      <c r="R37" s="115">
        <f>R18*TCC!$E17</f>
        <v>0</v>
      </c>
      <c r="S37" s="115">
        <f>S18*TCC!$E17</f>
        <v>0</v>
      </c>
      <c r="T37" s="115">
        <f>T18*TCC!$E17</f>
        <v>0</v>
      </c>
      <c r="U37" s="115">
        <f>U18*TCC!$E17</f>
        <v>0</v>
      </c>
      <c r="V37" s="115">
        <f>V18*TCC!$E17</f>
        <v>0</v>
      </c>
      <c r="W37" s="115">
        <f>W18*TCC!$E17</f>
        <v>0</v>
      </c>
      <c r="X37" s="115">
        <f>X18*TCC!$E17</f>
        <v>0</v>
      </c>
      <c r="Y37" s="115">
        <f>Y18*TCC!$E17</f>
        <v>0</v>
      </c>
      <c r="Z37" s="115">
        <f>Z18*TCC!$E17</f>
        <v>0</v>
      </c>
    </row>
    <row r="38" spans="1:26" x14ac:dyDescent="0.3">
      <c r="A38" s="430" t="s">
        <v>225</v>
      </c>
      <c r="B38" s="115">
        <f>B19*TCC!$C18</f>
        <v>3574.2134242424236</v>
      </c>
      <c r="C38" s="115">
        <f>C19*TCC!$C18</f>
        <v>3574.2134242424236</v>
      </c>
      <c r="D38" s="115">
        <f>D19*TCC!$C18</f>
        <v>3574.2134242424236</v>
      </c>
      <c r="E38" s="115">
        <f>E19*TCC!$C18</f>
        <v>3574.2134242424236</v>
      </c>
      <c r="F38" s="115">
        <f>F19*TCC!$C18</f>
        <v>3574.2134242424236</v>
      </c>
      <c r="G38" s="115">
        <f>G19*TCC!$C18</f>
        <v>3574.2134242424236</v>
      </c>
      <c r="H38" s="115">
        <f>H19*TCC!$C18</f>
        <v>3574.2134242424236</v>
      </c>
      <c r="I38" s="115">
        <f>I19*TCC!$C18</f>
        <v>1787.1067121212118</v>
      </c>
      <c r="J38" s="115">
        <f>J19*TCC!$C18</f>
        <v>2680.6600681818177</v>
      </c>
      <c r="K38" s="115">
        <f>K19*TCC!$C18</f>
        <v>1787.1067121212118</v>
      </c>
      <c r="L38" s="115">
        <f>L19*TCC!$C18</f>
        <v>1787.1067121212118</v>
      </c>
      <c r="M38" s="115">
        <f>M19*TCC!$E18</f>
        <v>982.90869166666653</v>
      </c>
      <c r="N38" s="115">
        <f>N19*TCC!$E18</f>
        <v>982.90869166666653</v>
      </c>
      <c r="O38" s="115">
        <f>O19*TCC!$E18</f>
        <v>196.58173833333331</v>
      </c>
      <c r="P38" s="115">
        <f>P19*TCC!$E18</f>
        <v>196.58173833333331</v>
      </c>
      <c r="Q38" s="115">
        <f>Q19*TCC!$E18</f>
        <v>196.58173833333331</v>
      </c>
      <c r="R38" s="115">
        <f>R19*TCC!$E18</f>
        <v>196.58173833333331</v>
      </c>
      <c r="S38" s="115">
        <f>S19*TCC!$E18</f>
        <v>196.58173833333331</v>
      </c>
      <c r="T38" s="115">
        <f>T19*TCC!$E18</f>
        <v>196.58173833333331</v>
      </c>
      <c r="U38" s="115">
        <f>U19*TCC!$E18</f>
        <v>196.58173833333331</v>
      </c>
      <c r="V38" s="115">
        <f>V19*TCC!$E18</f>
        <v>196.58173833333331</v>
      </c>
      <c r="W38" s="115">
        <f>W19*TCC!$E18</f>
        <v>196.58173833333331</v>
      </c>
      <c r="X38" s="115">
        <f>X19*TCC!$E18</f>
        <v>196.58173833333331</v>
      </c>
      <c r="Y38" s="115">
        <f>Y19*TCC!$E18</f>
        <v>196.58173833333331</v>
      </c>
      <c r="Z38" s="115">
        <f>Z19*TCC!$E18</f>
        <v>196.58173833333331</v>
      </c>
    </row>
    <row r="39" spans="1:26" ht="15.6" x14ac:dyDescent="0.3">
      <c r="A39" s="522" t="s">
        <v>92</v>
      </c>
      <c r="B39" s="165"/>
      <c r="C39" s="165"/>
      <c r="D39" s="165"/>
      <c r="E39" s="165"/>
      <c r="F39" s="165"/>
      <c r="G39" s="165"/>
      <c r="H39" s="618" t="e">
        <f>H20*#REF!</f>
        <v>#REF!</v>
      </c>
      <c r="I39" s="618" t="e">
        <f>I20*#REF!</f>
        <v>#REF!</v>
      </c>
      <c r="J39" s="618" t="e">
        <f>J20*#REF!</f>
        <v>#REF!</v>
      </c>
      <c r="K39" s="618" t="e">
        <f>K20*#REF!</f>
        <v>#REF!</v>
      </c>
      <c r="L39" s="618" t="e">
        <f>L20*#REF!</f>
        <v>#REF!</v>
      </c>
      <c r="M39" s="618" t="e">
        <f>M20*#REF!</f>
        <v>#REF!</v>
      </c>
      <c r="N39" s="618" t="e">
        <f>N20*#REF!</f>
        <v>#REF!</v>
      </c>
      <c r="O39" s="618" t="e">
        <f>O20*#REF!</f>
        <v>#REF!</v>
      </c>
      <c r="P39" s="618" t="e">
        <f>P20*#REF!</f>
        <v>#REF!</v>
      </c>
      <c r="Q39" s="618" t="e">
        <f>Q20*#REF!</f>
        <v>#REF!</v>
      </c>
      <c r="R39" s="618" t="e">
        <f>R20*#REF!</f>
        <v>#REF!</v>
      </c>
      <c r="S39" s="618" t="e">
        <f>S20*#REF!</f>
        <v>#REF!</v>
      </c>
      <c r="T39" s="618" t="e">
        <f>T20*#REF!</f>
        <v>#REF!</v>
      </c>
      <c r="U39" s="618" t="e">
        <f>U20*#REF!</f>
        <v>#REF!</v>
      </c>
      <c r="V39" s="618" t="e">
        <f>V20*#REF!</f>
        <v>#REF!</v>
      </c>
      <c r="W39" s="618" t="e">
        <f>W20*#REF!</f>
        <v>#REF!</v>
      </c>
      <c r="X39" s="618" t="e">
        <f>X20*#REF!</f>
        <v>#REF!</v>
      </c>
      <c r="Y39" s="618" t="e">
        <f>Y20*#REF!</f>
        <v>#REF!</v>
      </c>
      <c r="Z39" s="618" t="e">
        <f>Z20*#REF!</f>
        <v>#REF!</v>
      </c>
    </row>
    <row r="40" spans="1:26" ht="15.6" x14ac:dyDescent="0.3">
      <c r="A40" s="522" t="s">
        <v>93</v>
      </c>
      <c r="B40" s="165"/>
      <c r="C40" s="165"/>
      <c r="D40" s="165"/>
      <c r="E40" s="165"/>
      <c r="F40" s="165"/>
      <c r="G40" s="165"/>
      <c r="H40" s="618" t="e">
        <f>H21*#REF!</f>
        <v>#REF!</v>
      </c>
      <c r="I40" s="618" t="e">
        <f>I21*#REF!</f>
        <v>#REF!</v>
      </c>
      <c r="J40" s="618" t="e">
        <f>J21*#REF!</f>
        <v>#REF!</v>
      </c>
      <c r="K40" s="618" t="e">
        <f>K21*#REF!</f>
        <v>#REF!</v>
      </c>
      <c r="L40" s="618" t="e">
        <f>L21*#REF!</f>
        <v>#REF!</v>
      </c>
      <c r="M40" s="618" t="e">
        <f>M21*#REF!</f>
        <v>#REF!</v>
      </c>
      <c r="N40" s="618" t="e">
        <f>N21*#REF!</f>
        <v>#REF!</v>
      </c>
      <c r="O40" s="618" t="e">
        <f>O21*#REF!</f>
        <v>#REF!</v>
      </c>
      <c r="P40" s="618" t="e">
        <f>P21*#REF!</f>
        <v>#REF!</v>
      </c>
      <c r="Q40" s="618" t="e">
        <f>Q21*#REF!</f>
        <v>#REF!</v>
      </c>
      <c r="R40" s="618" t="e">
        <f>R21*#REF!</f>
        <v>#REF!</v>
      </c>
      <c r="S40" s="618" t="e">
        <f>S21*#REF!</f>
        <v>#REF!</v>
      </c>
      <c r="T40" s="618" t="e">
        <f>T21*#REF!</f>
        <v>#REF!</v>
      </c>
      <c r="U40" s="618" t="e">
        <f>U21*#REF!</f>
        <v>#REF!</v>
      </c>
      <c r="V40" s="618" t="e">
        <f>V21*#REF!</f>
        <v>#REF!</v>
      </c>
      <c r="W40" s="618" t="e">
        <f>W21*#REF!</f>
        <v>#REF!</v>
      </c>
      <c r="X40" s="618" t="e">
        <f>X21*#REF!</f>
        <v>#REF!</v>
      </c>
      <c r="Y40" s="618" t="e">
        <f>Y21*#REF!</f>
        <v>#REF!</v>
      </c>
      <c r="Z40" s="618" t="e">
        <f>Z21*#REF!</f>
        <v>#REF!</v>
      </c>
    </row>
    <row r="41" spans="1:26" ht="15.6" x14ac:dyDescent="0.3">
      <c r="A41" s="522" t="s">
        <v>88</v>
      </c>
      <c r="B41" s="165"/>
      <c r="C41" s="165"/>
      <c r="D41" s="165"/>
      <c r="E41" s="165"/>
      <c r="F41" s="165"/>
      <c r="G41" s="165"/>
      <c r="H41" s="618"/>
      <c r="I41" s="618"/>
      <c r="J41" s="618"/>
      <c r="K41" s="618"/>
      <c r="L41" s="618"/>
      <c r="M41" s="618"/>
      <c r="N41" s="618"/>
      <c r="O41" s="618"/>
      <c r="P41" s="618"/>
      <c r="Q41" s="618"/>
      <c r="R41" s="618"/>
      <c r="S41" s="618"/>
      <c r="T41" s="618"/>
      <c r="U41" s="618"/>
      <c r="V41" s="618"/>
      <c r="W41" s="618"/>
      <c r="X41" s="618"/>
      <c r="Y41" s="618"/>
      <c r="Z41" s="618"/>
    </row>
    <row r="42" spans="1:26" x14ac:dyDescent="0.3">
      <c r="A42" s="169" t="s">
        <v>87</v>
      </c>
      <c r="B42" s="116">
        <f>SUM(B26:B41)</f>
        <v>39428.412718915148</v>
      </c>
      <c r="C42" s="116">
        <f t="shared" ref="C42:Z42" si="2">SUM(C26:C41)</f>
        <v>39428.412718915148</v>
      </c>
      <c r="D42" s="116">
        <f t="shared" si="2"/>
        <v>41986.842400733331</v>
      </c>
      <c r="E42" s="116">
        <f t="shared" si="2"/>
        <v>44076.051218915149</v>
      </c>
      <c r="F42" s="116">
        <f t="shared" si="2"/>
        <v>49436.905143157572</v>
      </c>
      <c r="G42" s="116">
        <f t="shared" si="2"/>
        <v>67593.250072809853</v>
      </c>
      <c r="H42" s="116" t="e">
        <f t="shared" si="2"/>
        <v>#REF!</v>
      </c>
      <c r="I42" s="116" t="e">
        <f t="shared" si="2"/>
        <v>#REF!</v>
      </c>
      <c r="J42" s="116" t="e">
        <f t="shared" si="2"/>
        <v>#REF!</v>
      </c>
      <c r="K42" s="116" t="e">
        <f>SUM(K26:K41)</f>
        <v>#REF!</v>
      </c>
      <c r="L42" s="116" t="e">
        <f t="shared" si="2"/>
        <v>#REF!</v>
      </c>
      <c r="M42" s="116" t="e">
        <f t="shared" si="2"/>
        <v>#REF!</v>
      </c>
      <c r="N42" s="116" t="e">
        <f t="shared" si="2"/>
        <v>#REF!</v>
      </c>
      <c r="O42" s="116" t="e">
        <f t="shared" si="2"/>
        <v>#REF!</v>
      </c>
      <c r="P42" s="116" t="e">
        <f t="shared" si="2"/>
        <v>#REF!</v>
      </c>
      <c r="Q42" s="116" t="e">
        <f t="shared" si="2"/>
        <v>#REF!</v>
      </c>
      <c r="R42" s="116" t="e">
        <f t="shared" si="2"/>
        <v>#REF!</v>
      </c>
      <c r="S42" s="116" t="e">
        <f t="shared" si="2"/>
        <v>#REF!</v>
      </c>
      <c r="T42" s="116" t="e">
        <f t="shared" si="2"/>
        <v>#REF!</v>
      </c>
      <c r="U42" s="116" t="e">
        <f t="shared" si="2"/>
        <v>#REF!</v>
      </c>
      <c r="V42" s="116" t="e">
        <f t="shared" si="2"/>
        <v>#REF!</v>
      </c>
      <c r="W42" s="116" t="e">
        <f t="shared" si="2"/>
        <v>#REF!</v>
      </c>
      <c r="X42" s="116" t="e">
        <f t="shared" si="2"/>
        <v>#REF!</v>
      </c>
      <c r="Y42" s="116" t="e">
        <f t="shared" si="2"/>
        <v>#REF!</v>
      </c>
      <c r="Z42" s="116" t="e">
        <f t="shared" si="2"/>
        <v>#REF!</v>
      </c>
    </row>
    <row r="43" spans="1:26" x14ac:dyDescent="0.3">
      <c r="A43" s="168" t="s">
        <v>228</v>
      </c>
      <c r="B43" s="172" t="e">
        <f>SUM(B$42:$Z42)-B42</f>
        <v>#REF!</v>
      </c>
      <c r="C43" s="172" t="e">
        <f>SUM(C$42:$Z42)-C42</f>
        <v>#REF!</v>
      </c>
      <c r="D43" s="172" t="e">
        <f>SUM(D$42:$Z42)-D42</f>
        <v>#REF!</v>
      </c>
      <c r="E43" s="172" t="e">
        <f>SUM(E$42:$Z42)-E42</f>
        <v>#REF!</v>
      </c>
      <c r="F43" s="172" t="e">
        <f>SUM(F$42:$Z42)-F42</f>
        <v>#REF!</v>
      </c>
      <c r="G43" s="172" t="e">
        <f>SUM(G$42:$Z42)-G42</f>
        <v>#REF!</v>
      </c>
      <c r="H43" s="172" t="e">
        <f>SUM(H$42:$Z42)-H42</f>
        <v>#REF!</v>
      </c>
      <c r="I43" s="172" t="e">
        <f>SUM(I$42:$Z42)-I42</f>
        <v>#REF!</v>
      </c>
      <c r="J43" s="172" t="e">
        <f>SUM(J$42:$Z42)-J42</f>
        <v>#REF!</v>
      </c>
      <c r="K43" s="172" t="e">
        <f>SUM(K$42:$Z42)-K42</f>
        <v>#REF!</v>
      </c>
      <c r="L43" s="172" t="e">
        <f>SUM(L$42:$Z42)-L42</f>
        <v>#REF!</v>
      </c>
      <c r="M43" s="172" t="e">
        <f>SUM(M$42:$Z42)-M42</f>
        <v>#REF!</v>
      </c>
      <c r="N43" s="172" t="e">
        <f>SUM(N$42:$Z42)-N42</f>
        <v>#REF!</v>
      </c>
      <c r="O43" s="172" t="e">
        <f>SUM(O$42:$Z42)-O42</f>
        <v>#REF!</v>
      </c>
      <c r="P43" s="172" t="e">
        <f>SUM(P$42:$Z42)-P42</f>
        <v>#REF!</v>
      </c>
      <c r="Q43" s="172" t="e">
        <f>SUM(Q$42:$Z42)-Q42</f>
        <v>#REF!</v>
      </c>
      <c r="R43" s="172" t="e">
        <f>SUM(R$42:$Z42)-R42</f>
        <v>#REF!</v>
      </c>
      <c r="S43" s="172" t="e">
        <f>SUM(S$42:$Z42)-S42</f>
        <v>#REF!</v>
      </c>
      <c r="T43" s="172" t="e">
        <f>SUM(T$42:$Z42)-T42</f>
        <v>#REF!</v>
      </c>
      <c r="U43" s="172" t="e">
        <f>SUM(U$42:$Z42)-U42</f>
        <v>#REF!</v>
      </c>
      <c r="V43" s="172" t="e">
        <f>SUM(V$42:$Z42)-V42</f>
        <v>#REF!</v>
      </c>
      <c r="W43" s="172" t="e">
        <f>SUM(W$42:$Z42)-W42</f>
        <v>#REF!</v>
      </c>
      <c r="X43" s="172" t="e">
        <f>SUM(X$42:$Z42)-X42</f>
        <v>#REF!</v>
      </c>
      <c r="Y43" s="172" t="e">
        <f>SUM(Y$42:$Z42)-Y42</f>
        <v>#REF!</v>
      </c>
      <c r="Z43" s="172" t="e">
        <f>SUM(Z$42:$Z42)-Z42</f>
        <v>#REF!</v>
      </c>
    </row>
  </sheetData>
  <phoneticPr fontId="10" type="noConversion"/>
  <hyperlinks>
    <hyperlink ref="A2" location="Dashboard!A1" display="Tableau de bord" xr:uid="{39974A9C-D6CC-488C-B5CF-C2C95327E0B8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D5EA-FC86-4F05-8442-2F63C9917279}">
  <sheetPr>
    <tabColor theme="8"/>
  </sheetPr>
  <dimension ref="A1:Z51"/>
  <sheetViews>
    <sheetView showGridLines="0" zoomScaleNormal="100" workbookViewId="0">
      <pane xSplit="1" ySplit="6" topLeftCell="B33" activePane="bottomRight" state="frozen"/>
      <selection pane="topRight" activeCell="C1" sqref="C1"/>
      <selection pane="bottomLeft" activeCell="A7" sqref="A7"/>
      <selection pane="bottomRight" activeCell="J8" sqref="J8"/>
    </sheetView>
  </sheetViews>
  <sheetFormatPr defaultColWidth="11.44140625" defaultRowHeight="14.4" x14ac:dyDescent="0.3"/>
  <cols>
    <col min="1" max="1" width="20.6640625" bestFit="1" customWidth="1"/>
    <col min="2" max="3" width="15" bestFit="1" customWidth="1"/>
    <col min="4" max="13" width="16.109375" bestFit="1" customWidth="1"/>
    <col min="14" max="26" width="15.33203125" bestFit="1" customWidth="1"/>
  </cols>
  <sheetData>
    <row r="1" spans="1:26" ht="15" thickBot="1" x14ac:dyDescent="0.35"/>
    <row r="2" spans="1:26" ht="18" thickBot="1" x14ac:dyDescent="0.35">
      <c r="A2" s="31" t="s">
        <v>4</v>
      </c>
    </row>
    <row r="3" spans="1:26" ht="15" thickBot="1" x14ac:dyDescent="0.35"/>
    <row r="4" spans="1:26" ht="15.6" thickTop="1" thickBot="1" x14ac:dyDescent="0.35">
      <c r="A4" s="24" t="s">
        <v>213</v>
      </c>
      <c r="B4" s="29">
        <f>Dashboard!C22</f>
        <v>45997</v>
      </c>
    </row>
    <row r="5" spans="1:26" ht="15" thickTop="1" x14ac:dyDescent="0.3"/>
    <row r="6" spans="1:26" ht="27.45" customHeight="1" x14ac:dyDescent="0.3">
      <c r="A6" s="22" t="s">
        <v>269</v>
      </c>
      <c r="B6" s="113">
        <v>45328</v>
      </c>
      <c r="C6" s="113">
        <v>45357</v>
      </c>
      <c r="D6" s="113">
        <v>45388</v>
      </c>
      <c r="E6" s="113">
        <v>45418</v>
      </c>
      <c r="F6" s="113">
        <v>45449</v>
      </c>
      <c r="G6" s="113">
        <v>45479</v>
      </c>
      <c r="H6" s="113">
        <v>45510</v>
      </c>
      <c r="I6" s="113">
        <v>45541</v>
      </c>
      <c r="J6" s="113">
        <v>45571</v>
      </c>
      <c r="K6" s="113">
        <v>45602</v>
      </c>
      <c r="L6" s="113">
        <v>45632</v>
      </c>
      <c r="M6" s="113">
        <v>45663</v>
      </c>
      <c r="N6" s="113">
        <v>45689</v>
      </c>
      <c r="O6" s="113">
        <v>45717</v>
      </c>
      <c r="P6" s="113">
        <v>45748</v>
      </c>
      <c r="Q6" s="113">
        <v>45778</v>
      </c>
      <c r="R6" s="113">
        <v>45809</v>
      </c>
      <c r="S6" s="113">
        <v>45839</v>
      </c>
      <c r="T6" s="113">
        <v>45870</v>
      </c>
      <c r="U6" s="113">
        <v>45901</v>
      </c>
      <c r="V6" s="113">
        <v>45931</v>
      </c>
      <c r="W6" s="113">
        <v>45962</v>
      </c>
      <c r="X6" s="113">
        <v>45992</v>
      </c>
      <c r="Y6" s="113">
        <v>46023</v>
      </c>
      <c r="Z6" s="113">
        <v>46054</v>
      </c>
    </row>
    <row r="7" spans="1:26" x14ac:dyDescent="0.3">
      <c r="A7" s="164" t="s">
        <v>69</v>
      </c>
      <c r="B7" s="165">
        <v>0</v>
      </c>
      <c r="C7" s="165">
        <v>0</v>
      </c>
      <c r="D7" s="165">
        <v>20</v>
      </c>
      <c r="E7" s="165">
        <v>20</v>
      </c>
      <c r="F7" s="165">
        <v>20</v>
      </c>
      <c r="G7" s="165">
        <v>18</v>
      </c>
      <c r="H7" s="165">
        <v>17</v>
      </c>
      <c r="I7" s="165">
        <v>18</v>
      </c>
      <c r="J7" s="165">
        <v>12</v>
      </c>
      <c r="K7" s="474">
        <v>0</v>
      </c>
      <c r="L7" s="474">
        <v>0</v>
      </c>
      <c r="M7" s="474">
        <v>0</v>
      </c>
      <c r="N7" s="474">
        <v>0</v>
      </c>
      <c r="O7" s="474"/>
      <c r="P7" s="474"/>
      <c r="Q7" s="474"/>
      <c r="R7" s="474"/>
      <c r="S7" s="474"/>
      <c r="T7" s="474"/>
      <c r="U7" s="474"/>
      <c r="V7" s="474"/>
      <c r="W7" s="474"/>
      <c r="X7" s="474"/>
      <c r="Y7" s="474"/>
      <c r="Z7" s="474"/>
    </row>
    <row r="8" spans="1:26" x14ac:dyDescent="0.3">
      <c r="A8" s="164" t="s">
        <v>70</v>
      </c>
      <c r="B8" s="165">
        <v>0</v>
      </c>
      <c r="C8" s="165">
        <v>0</v>
      </c>
      <c r="D8" s="165">
        <v>0</v>
      </c>
      <c r="E8" s="165">
        <v>0</v>
      </c>
      <c r="F8" s="165">
        <v>9</v>
      </c>
      <c r="G8" s="165">
        <v>12.5</v>
      </c>
      <c r="H8" s="165">
        <v>13</v>
      </c>
      <c r="I8" s="165">
        <v>15.6875</v>
      </c>
      <c r="J8" s="165">
        <v>0</v>
      </c>
      <c r="K8" s="474">
        <v>0</v>
      </c>
      <c r="L8" s="474">
        <v>0</v>
      </c>
      <c r="M8" s="474">
        <v>0</v>
      </c>
      <c r="N8" s="474">
        <v>0</v>
      </c>
      <c r="O8" s="474"/>
      <c r="P8" s="474"/>
      <c r="Q8" s="474"/>
      <c r="R8" s="474"/>
      <c r="S8" s="474"/>
      <c r="T8" s="474"/>
      <c r="U8" s="474"/>
      <c r="V8" s="474"/>
      <c r="W8" s="474"/>
      <c r="X8" s="474"/>
      <c r="Y8" s="474"/>
      <c r="Z8" s="474"/>
    </row>
    <row r="9" spans="1:26" x14ac:dyDescent="0.3">
      <c r="A9" s="164" t="s">
        <v>71</v>
      </c>
      <c r="B9" s="165">
        <v>0</v>
      </c>
      <c r="C9" s="165">
        <v>6</v>
      </c>
      <c r="D9" s="165">
        <v>6</v>
      </c>
      <c r="E9" s="165">
        <v>16</v>
      </c>
      <c r="F9" s="165">
        <v>13</v>
      </c>
      <c r="G9" s="165">
        <v>16</v>
      </c>
      <c r="H9" s="165">
        <v>19</v>
      </c>
      <c r="I9" s="165">
        <v>13.5</v>
      </c>
      <c r="J9" s="165">
        <v>7.5</v>
      </c>
      <c r="K9" s="429">
        <v>15</v>
      </c>
      <c r="L9" s="426">
        <v>5.5</v>
      </c>
      <c r="M9" s="426">
        <v>0</v>
      </c>
      <c r="N9" s="426">
        <v>0</v>
      </c>
      <c r="O9" s="426">
        <v>0</v>
      </c>
      <c r="P9" s="426">
        <v>0.5</v>
      </c>
      <c r="Q9" s="426">
        <v>0</v>
      </c>
      <c r="R9" s="426">
        <f>25/8</f>
        <v>3.125</v>
      </c>
      <c r="S9" s="426">
        <f>2/8</f>
        <v>0.25</v>
      </c>
      <c r="T9" s="426">
        <v>0</v>
      </c>
      <c r="U9" s="426"/>
      <c r="V9" s="426"/>
      <c r="W9" s="426"/>
      <c r="X9" s="426">
        <f>4/8</f>
        <v>0.5</v>
      </c>
      <c r="Y9" s="426"/>
      <c r="Z9" s="426"/>
    </row>
    <row r="10" spans="1:26" x14ac:dyDescent="0.3">
      <c r="A10" s="164" t="s">
        <v>72</v>
      </c>
      <c r="B10" s="165">
        <v>0</v>
      </c>
      <c r="C10" s="165">
        <v>0</v>
      </c>
      <c r="D10" s="165">
        <v>0</v>
      </c>
      <c r="E10" s="165">
        <v>0</v>
      </c>
      <c r="F10" s="165">
        <v>0</v>
      </c>
      <c r="G10" s="165">
        <v>11</v>
      </c>
      <c r="H10" s="165">
        <v>10</v>
      </c>
      <c r="I10" s="165">
        <v>10</v>
      </c>
      <c r="J10" s="165">
        <v>13.875</v>
      </c>
      <c r="K10" s="174">
        <v>10</v>
      </c>
      <c r="L10" s="425">
        <v>19</v>
      </c>
      <c r="M10" s="426">
        <v>9</v>
      </c>
      <c r="N10" s="426">
        <v>6</v>
      </c>
      <c r="O10" s="426">
        <v>0</v>
      </c>
      <c r="P10" s="426">
        <v>0</v>
      </c>
      <c r="Q10" s="426">
        <v>0</v>
      </c>
      <c r="R10" s="426">
        <v>0</v>
      </c>
      <c r="S10" s="426">
        <v>0</v>
      </c>
      <c r="T10" s="426">
        <v>0</v>
      </c>
      <c r="U10" s="426"/>
      <c r="V10" s="426"/>
      <c r="W10" s="426"/>
      <c r="X10" s="426"/>
      <c r="Y10" s="426"/>
      <c r="Z10" s="426"/>
    </row>
    <row r="11" spans="1:26" x14ac:dyDescent="0.3">
      <c r="A11" s="164" t="s">
        <v>73</v>
      </c>
      <c r="B11" s="165">
        <v>18</v>
      </c>
      <c r="C11" s="165">
        <v>19</v>
      </c>
      <c r="D11" s="165">
        <v>20</v>
      </c>
      <c r="E11" s="165">
        <v>18</v>
      </c>
      <c r="F11" s="165">
        <v>15</v>
      </c>
      <c r="G11" s="165">
        <v>14</v>
      </c>
      <c r="H11" s="165">
        <v>14.75</v>
      </c>
      <c r="I11" s="165">
        <v>18</v>
      </c>
      <c r="J11" s="165">
        <v>14.625</v>
      </c>
      <c r="K11" s="174">
        <v>19.125</v>
      </c>
      <c r="L11" s="425">
        <v>17.75</v>
      </c>
      <c r="M11" s="426">
        <v>16</v>
      </c>
      <c r="N11" s="426">
        <v>11.375</v>
      </c>
      <c r="O11" s="426">
        <v>4.5</v>
      </c>
      <c r="P11" s="426">
        <v>0.125</v>
      </c>
      <c r="Q11" s="426">
        <v>0</v>
      </c>
      <c r="R11" s="426">
        <v>0</v>
      </c>
      <c r="S11" s="426">
        <v>0</v>
      </c>
      <c r="T11" s="426">
        <f>2/8</f>
        <v>0.25</v>
      </c>
      <c r="U11" s="426"/>
      <c r="V11" s="426"/>
      <c r="W11" s="426"/>
      <c r="X11" s="426"/>
      <c r="Y11" s="426"/>
      <c r="Z11" s="426"/>
    </row>
    <row r="12" spans="1:26" x14ac:dyDescent="0.3">
      <c r="A12" s="164" t="s">
        <v>74</v>
      </c>
      <c r="B12" s="165">
        <v>18</v>
      </c>
      <c r="C12" s="165">
        <v>18</v>
      </c>
      <c r="D12" s="165">
        <v>22</v>
      </c>
      <c r="E12" s="165">
        <v>18</v>
      </c>
      <c r="F12" s="165">
        <v>19</v>
      </c>
      <c r="G12" s="165">
        <v>22</v>
      </c>
      <c r="H12" s="165">
        <v>17.75</v>
      </c>
      <c r="I12" s="165">
        <v>20.5</v>
      </c>
      <c r="J12" s="165">
        <v>19.25</v>
      </c>
      <c r="K12" s="174">
        <v>20</v>
      </c>
      <c r="L12" s="425">
        <v>19.75</v>
      </c>
      <c r="M12" s="426">
        <v>10</v>
      </c>
      <c r="N12" s="426">
        <v>5</v>
      </c>
      <c r="O12" s="426">
        <f>3/8</f>
        <v>0.375</v>
      </c>
      <c r="P12" s="426">
        <f>28/8</f>
        <v>3.5</v>
      </c>
      <c r="Q12" s="426">
        <v>0</v>
      </c>
      <c r="R12" s="426">
        <f>2/8</f>
        <v>0.25</v>
      </c>
      <c r="S12" s="426">
        <v>0.5</v>
      </c>
      <c r="T12" s="426">
        <f>26/8</f>
        <v>3.25</v>
      </c>
      <c r="U12" s="426">
        <f>18/8</f>
        <v>2.25</v>
      </c>
      <c r="V12" s="426">
        <f>24/8</f>
        <v>3</v>
      </c>
      <c r="W12" s="426">
        <f>8/8</f>
        <v>1</v>
      </c>
      <c r="X12" s="426"/>
      <c r="Y12" s="426"/>
      <c r="Z12" s="426"/>
    </row>
    <row r="13" spans="1:26" x14ac:dyDescent="0.3">
      <c r="A13" s="164" t="s">
        <v>75</v>
      </c>
      <c r="B13" s="165">
        <v>0</v>
      </c>
      <c r="C13" s="165">
        <v>0</v>
      </c>
      <c r="D13" s="165">
        <v>0</v>
      </c>
      <c r="E13" s="165">
        <v>7</v>
      </c>
      <c r="F13" s="165">
        <v>2</v>
      </c>
      <c r="G13" s="165">
        <v>22</v>
      </c>
      <c r="H13" s="165">
        <v>13.5</v>
      </c>
      <c r="I13" s="165">
        <v>21</v>
      </c>
      <c r="J13" s="165">
        <v>18.875</v>
      </c>
      <c r="K13" s="174">
        <v>20.25</v>
      </c>
      <c r="L13" s="425">
        <v>18</v>
      </c>
      <c r="M13" s="426">
        <v>7.625</v>
      </c>
      <c r="N13" s="426">
        <v>1.5</v>
      </c>
      <c r="O13" s="426">
        <f>21/8</f>
        <v>2.625</v>
      </c>
      <c r="P13" s="426">
        <f>1/8</f>
        <v>0.125</v>
      </c>
      <c r="Q13" s="426">
        <v>1</v>
      </c>
      <c r="R13" s="426">
        <v>0</v>
      </c>
      <c r="S13" s="426">
        <f>11/8</f>
        <v>1.375</v>
      </c>
      <c r="T13" s="426">
        <v>0</v>
      </c>
      <c r="U13" s="426"/>
      <c r="V13" s="426">
        <f>1/8</f>
        <v>0.125</v>
      </c>
      <c r="W13" s="426">
        <f>10/8</f>
        <v>1.25</v>
      </c>
      <c r="X13" s="426"/>
      <c r="Y13" s="426"/>
      <c r="Z13" s="426"/>
    </row>
    <row r="14" spans="1:26" x14ac:dyDescent="0.3">
      <c r="A14" s="164" t="s">
        <v>76</v>
      </c>
      <c r="B14" s="165">
        <v>20</v>
      </c>
      <c r="C14" s="165">
        <v>17</v>
      </c>
      <c r="D14" s="165">
        <v>21</v>
      </c>
      <c r="E14" s="165">
        <v>20</v>
      </c>
      <c r="F14" s="165">
        <v>20</v>
      </c>
      <c r="G14" s="165">
        <v>22</v>
      </c>
      <c r="H14" s="165">
        <v>12.75</v>
      </c>
      <c r="I14" s="165">
        <v>20.625</v>
      </c>
      <c r="J14" s="165">
        <v>20.75</v>
      </c>
      <c r="K14" s="174">
        <v>20.5</v>
      </c>
      <c r="L14" s="425">
        <v>7.5</v>
      </c>
      <c r="M14" s="426">
        <v>11.5</v>
      </c>
      <c r="N14" s="426">
        <v>10.5</v>
      </c>
      <c r="O14" s="426">
        <f>34/8</f>
        <v>4.25</v>
      </c>
      <c r="P14" s="426">
        <v>0.5</v>
      </c>
      <c r="Q14" s="426">
        <v>0.5</v>
      </c>
      <c r="R14" s="426">
        <v>0</v>
      </c>
      <c r="S14" s="426">
        <v>0</v>
      </c>
      <c r="T14" s="426">
        <v>0</v>
      </c>
      <c r="U14" s="426"/>
      <c r="V14" s="426"/>
      <c r="W14" s="426"/>
      <c r="X14" s="426"/>
      <c r="Y14" s="426"/>
      <c r="Z14" s="426"/>
    </row>
    <row r="15" spans="1:26" x14ac:dyDescent="0.3">
      <c r="A15" s="164" t="s">
        <v>77</v>
      </c>
      <c r="B15" s="165">
        <v>18</v>
      </c>
      <c r="C15" s="165">
        <v>19</v>
      </c>
      <c r="D15" s="165">
        <v>23</v>
      </c>
      <c r="E15" s="165">
        <v>20</v>
      </c>
      <c r="F15" s="165">
        <v>20</v>
      </c>
      <c r="G15" s="165">
        <v>22</v>
      </c>
      <c r="H15" s="165">
        <v>19</v>
      </c>
      <c r="I15" s="165">
        <v>17</v>
      </c>
      <c r="J15" s="165">
        <v>20</v>
      </c>
      <c r="K15" s="174">
        <v>19</v>
      </c>
      <c r="L15" s="425">
        <v>20</v>
      </c>
      <c r="M15" s="426">
        <v>11</v>
      </c>
      <c r="N15" s="426">
        <v>4</v>
      </c>
      <c r="O15" s="426">
        <v>0</v>
      </c>
      <c r="P15" s="426">
        <v>0</v>
      </c>
      <c r="Q15" s="426">
        <v>0</v>
      </c>
      <c r="R15" s="426">
        <v>0</v>
      </c>
      <c r="S15" s="426">
        <v>0</v>
      </c>
      <c r="T15" s="426">
        <v>0</v>
      </c>
      <c r="U15" s="426"/>
      <c r="V15" s="426"/>
      <c r="W15" s="426"/>
      <c r="X15" s="426"/>
      <c r="Y15" s="426"/>
      <c r="Z15" s="426"/>
    </row>
    <row r="16" spans="1:26" x14ac:dyDescent="0.3">
      <c r="A16" s="164" t="s">
        <v>78</v>
      </c>
      <c r="B16" s="165">
        <v>0</v>
      </c>
      <c r="C16" s="165">
        <v>0</v>
      </c>
      <c r="D16" s="165">
        <v>0</v>
      </c>
      <c r="E16" s="165">
        <v>2</v>
      </c>
      <c r="F16" s="165">
        <v>6</v>
      </c>
      <c r="G16" s="165">
        <v>12</v>
      </c>
      <c r="H16" s="165">
        <v>5.5</v>
      </c>
      <c r="I16" s="165">
        <v>13.5</v>
      </c>
      <c r="J16" s="165">
        <v>10.8125</v>
      </c>
      <c r="K16" s="174">
        <v>12.25</v>
      </c>
      <c r="L16" s="425">
        <v>14.5</v>
      </c>
      <c r="M16" s="426">
        <v>1.5</v>
      </c>
      <c r="N16" s="426">
        <v>0.625</v>
      </c>
      <c r="O16" s="426">
        <v>3</v>
      </c>
      <c r="P16" s="426">
        <f>26/8</f>
        <v>3.25</v>
      </c>
      <c r="Q16" s="426">
        <f>2/8</f>
        <v>0.25</v>
      </c>
      <c r="R16" s="426">
        <f>10/8</f>
        <v>1.25</v>
      </c>
      <c r="S16" s="426">
        <v>0.5</v>
      </c>
      <c r="T16" s="426"/>
      <c r="U16" s="426"/>
      <c r="V16" s="426"/>
      <c r="W16" s="426">
        <f>1/8</f>
        <v>0.125</v>
      </c>
      <c r="X16" s="426"/>
      <c r="Y16" s="426"/>
      <c r="Z16" s="426"/>
    </row>
    <row r="17" spans="1:26" x14ac:dyDescent="0.3">
      <c r="A17" s="164" t="s">
        <v>79</v>
      </c>
      <c r="B17" s="165">
        <v>11</v>
      </c>
      <c r="C17" s="165">
        <v>15</v>
      </c>
      <c r="D17" s="165">
        <v>15</v>
      </c>
      <c r="E17" s="165">
        <v>10</v>
      </c>
      <c r="F17" s="165">
        <v>15</v>
      </c>
      <c r="G17" s="165">
        <v>15</v>
      </c>
      <c r="H17" s="165">
        <v>15.5</v>
      </c>
      <c r="I17" s="165">
        <v>15.5</v>
      </c>
      <c r="J17" s="165">
        <v>12</v>
      </c>
      <c r="K17" s="427">
        <v>12</v>
      </c>
      <c r="L17" s="425">
        <v>17.5</v>
      </c>
      <c r="M17" s="426">
        <v>18.5</v>
      </c>
      <c r="N17" s="426">
        <v>5</v>
      </c>
      <c r="O17" s="426">
        <v>0</v>
      </c>
      <c r="P17" s="426">
        <v>0</v>
      </c>
      <c r="Q17" s="426">
        <v>0</v>
      </c>
      <c r="R17" s="426">
        <v>0</v>
      </c>
      <c r="S17" s="474"/>
      <c r="T17" s="474"/>
      <c r="U17" s="474"/>
      <c r="V17" s="474"/>
      <c r="W17" s="474"/>
      <c r="X17" s="474"/>
      <c r="Y17" s="474"/>
      <c r="Z17" s="474"/>
    </row>
    <row r="18" spans="1:26" x14ac:dyDescent="0.3">
      <c r="A18" s="164" t="s">
        <v>80</v>
      </c>
      <c r="B18" s="165">
        <v>19</v>
      </c>
      <c r="C18" s="165">
        <v>17</v>
      </c>
      <c r="D18" s="165">
        <v>16</v>
      </c>
      <c r="E18" s="165">
        <v>10</v>
      </c>
      <c r="F18" s="165">
        <v>17</v>
      </c>
      <c r="G18" s="165">
        <v>21</v>
      </c>
      <c r="H18" s="165">
        <v>17</v>
      </c>
      <c r="I18" s="165">
        <v>10.5</v>
      </c>
      <c r="J18" s="165">
        <v>17</v>
      </c>
      <c r="K18" s="427">
        <v>6</v>
      </c>
      <c r="L18" s="425">
        <v>5</v>
      </c>
      <c r="M18" s="426">
        <v>6</v>
      </c>
      <c r="N18" s="426">
        <v>5</v>
      </c>
      <c r="O18" s="426">
        <v>0</v>
      </c>
      <c r="P18" s="426">
        <f>12/8</f>
        <v>1.5</v>
      </c>
      <c r="Q18" s="426">
        <v>0</v>
      </c>
      <c r="R18" s="426">
        <v>0</v>
      </c>
      <c r="S18" s="426">
        <v>0</v>
      </c>
      <c r="T18" s="426">
        <f>32/8</f>
        <v>4</v>
      </c>
      <c r="U18" s="426">
        <f>24/8</f>
        <v>3</v>
      </c>
      <c r="V18" s="426">
        <f>44/8</f>
        <v>5.5</v>
      </c>
      <c r="W18" s="426"/>
      <c r="X18" s="426">
        <f>68/8</f>
        <v>8.5</v>
      </c>
      <c r="Y18" s="426"/>
      <c r="Z18" s="426"/>
    </row>
    <row r="19" spans="1:26" x14ac:dyDescent="0.3">
      <c r="A19" s="164" t="s">
        <v>81</v>
      </c>
      <c r="B19" s="165">
        <v>14</v>
      </c>
      <c r="C19" s="165">
        <v>14</v>
      </c>
      <c r="D19" s="165">
        <v>18</v>
      </c>
      <c r="E19" s="165">
        <v>15</v>
      </c>
      <c r="F19" s="165">
        <v>16</v>
      </c>
      <c r="G19" s="165">
        <v>0</v>
      </c>
      <c r="H19" s="165">
        <v>0</v>
      </c>
      <c r="I19" s="165">
        <v>7</v>
      </c>
      <c r="J19" s="165">
        <v>1</v>
      </c>
      <c r="K19" s="427">
        <v>11</v>
      </c>
      <c r="L19" s="425">
        <v>0</v>
      </c>
      <c r="M19" s="426">
        <v>2</v>
      </c>
      <c r="N19" s="426">
        <v>0</v>
      </c>
      <c r="O19" s="474"/>
      <c r="P19" s="474"/>
      <c r="Q19" s="474"/>
      <c r="R19" s="474"/>
      <c r="S19" s="474"/>
      <c r="T19" s="474"/>
      <c r="U19" s="474"/>
      <c r="V19" s="474"/>
      <c r="W19" s="474"/>
      <c r="X19" s="474"/>
      <c r="Y19" s="474"/>
      <c r="Z19" s="474"/>
    </row>
    <row r="20" spans="1:26" x14ac:dyDescent="0.3">
      <c r="A20" s="164" t="s">
        <v>82</v>
      </c>
      <c r="B20" s="165">
        <v>0</v>
      </c>
      <c r="C20" s="165">
        <v>0</v>
      </c>
      <c r="D20" s="165">
        <v>0</v>
      </c>
      <c r="E20" s="165">
        <v>8</v>
      </c>
      <c r="F20" s="165">
        <v>9</v>
      </c>
      <c r="G20" s="165">
        <v>0</v>
      </c>
      <c r="H20" s="165">
        <v>0</v>
      </c>
      <c r="I20" s="165">
        <v>0</v>
      </c>
      <c r="J20" s="165">
        <v>0</v>
      </c>
      <c r="K20" s="427">
        <v>0</v>
      </c>
      <c r="L20" s="425">
        <v>0</v>
      </c>
      <c r="M20" s="426">
        <v>0</v>
      </c>
      <c r="N20" s="426">
        <v>0</v>
      </c>
      <c r="O20" s="426">
        <v>0</v>
      </c>
      <c r="P20" s="426">
        <v>0</v>
      </c>
      <c r="Q20" s="426">
        <v>0</v>
      </c>
      <c r="R20" s="426">
        <v>0</v>
      </c>
      <c r="S20" s="426">
        <v>0</v>
      </c>
      <c r="T20" s="426">
        <v>0</v>
      </c>
      <c r="U20" s="426"/>
      <c r="V20" s="426"/>
      <c r="W20" s="426"/>
      <c r="X20" s="426"/>
      <c r="Y20" s="426"/>
      <c r="Z20" s="426"/>
    </row>
    <row r="21" spans="1:26" x14ac:dyDescent="0.3">
      <c r="A21" s="164" t="s">
        <v>83</v>
      </c>
      <c r="B21" s="165">
        <v>0</v>
      </c>
      <c r="C21" s="165">
        <v>0</v>
      </c>
      <c r="D21" s="165">
        <v>25</v>
      </c>
      <c r="E21" s="165">
        <v>20</v>
      </c>
      <c r="F21" s="165">
        <v>20</v>
      </c>
      <c r="G21" s="165">
        <v>10</v>
      </c>
      <c r="H21" s="165">
        <v>0</v>
      </c>
      <c r="I21" s="165">
        <v>17.75</v>
      </c>
      <c r="J21" s="165">
        <v>20</v>
      </c>
      <c r="K21" s="427">
        <v>19</v>
      </c>
      <c r="L21" s="425">
        <v>20</v>
      </c>
      <c r="M21" s="426">
        <v>4.75</v>
      </c>
      <c r="N21" s="426">
        <v>0</v>
      </c>
      <c r="O21" s="426">
        <v>0</v>
      </c>
      <c r="P21" s="426">
        <v>0</v>
      </c>
      <c r="Q21" s="426">
        <v>0</v>
      </c>
      <c r="R21" s="426">
        <v>0</v>
      </c>
      <c r="S21" s="426">
        <v>0</v>
      </c>
      <c r="T21" s="426">
        <f>4/8</f>
        <v>0.5</v>
      </c>
      <c r="U21" s="426"/>
      <c r="V21" s="426"/>
      <c r="W21" s="426"/>
      <c r="X21" s="426"/>
      <c r="Y21" s="426"/>
      <c r="Z21" s="426"/>
    </row>
    <row r="22" spans="1:26" x14ac:dyDescent="0.3">
      <c r="A22" s="428" t="s">
        <v>84</v>
      </c>
      <c r="B22" s="165">
        <v>0</v>
      </c>
      <c r="C22" s="165">
        <v>0</v>
      </c>
      <c r="D22" s="165">
        <v>0</v>
      </c>
      <c r="E22" s="165">
        <v>0</v>
      </c>
      <c r="F22" s="165">
        <v>0</v>
      </c>
      <c r="G22" s="165">
        <v>13</v>
      </c>
      <c r="H22" s="165">
        <v>0</v>
      </c>
      <c r="I22" s="165">
        <v>0</v>
      </c>
      <c r="J22" s="165">
        <v>0</v>
      </c>
      <c r="K22" s="427">
        <v>0</v>
      </c>
      <c r="L22" s="425">
        <v>0</v>
      </c>
      <c r="M22" s="426">
        <v>0</v>
      </c>
      <c r="N22" s="426">
        <v>0</v>
      </c>
      <c r="O22" s="426">
        <v>0</v>
      </c>
      <c r="P22" s="426">
        <v>0</v>
      </c>
      <c r="Q22" s="426">
        <v>0</v>
      </c>
      <c r="R22" s="426">
        <v>0</v>
      </c>
      <c r="S22" s="426">
        <v>0</v>
      </c>
      <c r="T22" s="426">
        <v>0</v>
      </c>
      <c r="U22" s="426"/>
      <c r="V22" s="426"/>
      <c r="W22" s="426"/>
      <c r="X22" s="426"/>
      <c r="Y22" s="426"/>
      <c r="Z22" s="426"/>
    </row>
    <row r="23" spans="1:26" x14ac:dyDescent="0.3">
      <c r="A23" s="428" t="s">
        <v>85</v>
      </c>
      <c r="B23" s="165">
        <v>0</v>
      </c>
      <c r="C23" s="165">
        <v>0</v>
      </c>
      <c r="D23" s="165">
        <v>0</v>
      </c>
      <c r="E23" s="165">
        <v>0</v>
      </c>
      <c r="F23" s="165">
        <v>0</v>
      </c>
      <c r="G23" s="165">
        <v>0</v>
      </c>
      <c r="H23" s="165">
        <v>0</v>
      </c>
      <c r="I23" s="165">
        <v>0</v>
      </c>
      <c r="J23" s="165">
        <v>0</v>
      </c>
      <c r="K23" s="427">
        <v>0</v>
      </c>
      <c r="L23" s="425">
        <v>0</v>
      </c>
      <c r="M23" s="426">
        <v>0</v>
      </c>
      <c r="N23" s="426">
        <v>0</v>
      </c>
      <c r="O23" s="426">
        <v>0</v>
      </c>
      <c r="P23" s="426">
        <v>0</v>
      </c>
      <c r="Q23" s="426">
        <v>0</v>
      </c>
      <c r="R23" s="426">
        <v>0</v>
      </c>
      <c r="S23" s="426">
        <v>0</v>
      </c>
      <c r="T23" s="426">
        <v>0</v>
      </c>
      <c r="U23" s="426"/>
      <c r="V23" s="426"/>
      <c r="W23" s="426"/>
      <c r="X23" s="426"/>
      <c r="Y23" s="426"/>
      <c r="Z23" s="426"/>
    </row>
    <row r="24" spans="1:26" x14ac:dyDescent="0.3">
      <c r="A24" s="164" t="s">
        <v>86</v>
      </c>
      <c r="B24" s="165">
        <v>0</v>
      </c>
      <c r="C24" s="165">
        <v>0</v>
      </c>
      <c r="D24" s="165">
        <v>0</v>
      </c>
      <c r="E24" s="165">
        <v>0</v>
      </c>
      <c r="F24" s="165">
        <v>0</v>
      </c>
      <c r="G24" s="165">
        <v>0</v>
      </c>
      <c r="H24" s="165">
        <v>0</v>
      </c>
      <c r="I24" s="165">
        <v>0</v>
      </c>
      <c r="J24" s="165">
        <v>0</v>
      </c>
      <c r="K24" s="427">
        <v>3.6</v>
      </c>
      <c r="L24" s="425">
        <v>3.625</v>
      </c>
      <c r="M24" s="426">
        <v>3.75</v>
      </c>
      <c r="N24" s="426">
        <v>0</v>
      </c>
      <c r="O24" s="474"/>
      <c r="P24" s="474"/>
      <c r="Q24" s="474"/>
      <c r="R24" s="474"/>
      <c r="S24" s="474"/>
      <c r="T24" s="474"/>
      <c r="U24" s="474"/>
      <c r="V24" s="474"/>
      <c r="W24" s="474"/>
      <c r="X24" s="474">
        <f>5/8</f>
        <v>0.625</v>
      </c>
      <c r="Y24" s="474"/>
      <c r="Z24" s="474"/>
    </row>
    <row r="25" spans="1:26" ht="15.6" x14ac:dyDescent="0.3">
      <c r="A25" s="522" t="s">
        <v>88</v>
      </c>
      <c r="B25" s="165">
        <v>0</v>
      </c>
      <c r="C25" s="165">
        <v>0</v>
      </c>
      <c r="D25" s="165">
        <v>0</v>
      </c>
      <c r="E25" s="165">
        <v>0</v>
      </c>
      <c r="F25" s="165">
        <v>0</v>
      </c>
      <c r="G25" s="165">
        <v>0</v>
      </c>
      <c r="H25" s="165">
        <v>0</v>
      </c>
      <c r="I25" s="165">
        <v>0</v>
      </c>
      <c r="J25" s="165">
        <v>0</v>
      </c>
      <c r="K25" s="165">
        <v>0</v>
      </c>
      <c r="L25" s="165">
        <v>0</v>
      </c>
      <c r="M25" s="579">
        <v>0</v>
      </c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spans="1:26" x14ac:dyDescent="0.3">
      <c r="A26" s="170" t="s">
        <v>87</v>
      </c>
      <c r="B26" s="166">
        <f>SUM(B7:B24)</f>
        <v>118</v>
      </c>
      <c r="C26" s="166">
        <f t="shared" ref="C26:G26" si="0">SUM(C7:C24)</f>
        <v>125</v>
      </c>
      <c r="D26" s="166">
        <f t="shared" si="0"/>
        <v>186</v>
      </c>
      <c r="E26" s="166">
        <f t="shared" si="0"/>
        <v>184</v>
      </c>
      <c r="F26" s="166">
        <f t="shared" si="0"/>
        <v>201</v>
      </c>
      <c r="G26" s="166">
        <f t="shared" si="0"/>
        <v>230.5</v>
      </c>
      <c r="H26" s="166">
        <f t="shared" ref="H26:L26" si="1">SUM(H7:H24)</f>
        <v>174.75</v>
      </c>
      <c r="I26" s="166">
        <f t="shared" si="1"/>
        <v>218.5625</v>
      </c>
      <c r="J26" s="166">
        <f t="shared" si="1"/>
        <v>187.6875</v>
      </c>
      <c r="K26" s="114">
        <f t="shared" si="1"/>
        <v>187.72499999999999</v>
      </c>
      <c r="L26" s="114">
        <f t="shared" si="1"/>
        <v>168.125</v>
      </c>
      <c r="M26" s="114">
        <f>SUM(M7:M24)</f>
        <v>101.625</v>
      </c>
      <c r="N26" s="114">
        <f>SUM(N7:N24)</f>
        <v>49</v>
      </c>
      <c r="O26" s="114">
        <f t="shared" ref="O26:Y26" si="2">SUM(O7:O24)</f>
        <v>14.75</v>
      </c>
      <c r="P26" s="114">
        <f t="shared" si="2"/>
        <v>9.5</v>
      </c>
      <c r="Q26" s="114">
        <f t="shared" si="2"/>
        <v>1.75</v>
      </c>
      <c r="R26" s="114">
        <f t="shared" si="2"/>
        <v>4.625</v>
      </c>
      <c r="S26" s="114">
        <f t="shared" si="2"/>
        <v>2.625</v>
      </c>
      <c r="T26" s="114">
        <f t="shared" si="2"/>
        <v>8</v>
      </c>
      <c r="U26" s="114">
        <f t="shared" si="2"/>
        <v>5.25</v>
      </c>
      <c r="V26" s="114">
        <f t="shared" si="2"/>
        <v>8.625</v>
      </c>
      <c r="W26" s="114">
        <f t="shared" si="2"/>
        <v>2.375</v>
      </c>
      <c r="X26" s="114">
        <f t="shared" si="2"/>
        <v>9.625</v>
      </c>
      <c r="Y26" s="114">
        <f t="shared" si="2"/>
        <v>0</v>
      </c>
      <c r="Z26" s="114">
        <f>SUM(Z7:Z24)</f>
        <v>0</v>
      </c>
    </row>
    <row r="27" spans="1:26" x14ac:dyDescent="0.3">
      <c r="A27" s="168" t="s">
        <v>228</v>
      </c>
      <c r="B27" s="174">
        <f>B26</f>
        <v>118</v>
      </c>
      <c r="C27" s="114">
        <f t="shared" ref="C27:N27" si="3">C26+B27</f>
        <v>243</v>
      </c>
      <c r="D27" s="114">
        <f t="shared" si="3"/>
        <v>429</v>
      </c>
      <c r="E27" s="114">
        <f t="shared" si="3"/>
        <v>613</v>
      </c>
      <c r="F27" s="114">
        <f t="shared" si="3"/>
        <v>814</v>
      </c>
      <c r="G27" s="114">
        <f t="shared" si="3"/>
        <v>1044.5</v>
      </c>
      <c r="H27" s="114">
        <f t="shared" si="3"/>
        <v>1219.25</v>
      </c>
      <c r="I27" s="114">
        <f t="shared" si="3"/>
        <v>1437.8125</v>
      </c>
      <c r="J27" s="114">
        <f t="shared" si="3"/>
        <v>1625.5</v>
      </c>
      <c r="K27" s="114">
        <f t="shared" si="3"/>
        <v>1813.2249999999999</v>
      </c>
      <c r="L27" s="114">
        <f t="shared" si="3"/>
        <v>1981.35</v>
      </c>
      <c r="M27" s="114">
        <f t="shared" si="3"/>
        <v>2082.9749999999999</v>
      </c>
      <c r="N27" s="114">
        <f t="shared" si="3"/>
        <v>2131.9749999999999</v>
      </c>
      <c r="O27" s="114">
        <f t="shared" ref="O27" si="4">O26+N27</f>
        <v>2146.7249999999999</v>
      </c>
      <c r="P27" s="114">
        <f t="shared" ref="P27" si="5">P26+O27</f>
        <v>2156.2249999999999</v>
      </c>
      <c r="Q27" s="114">
        <f t="shared" ref="Q27" si="6">Q26+P27</f>
        <v>2157.9749999999999</v>
      </c>
      <c r="R27" s="114">
        <f t="shared" ref="R27" si="7">R26+Q27</f>
        <v>2162.6</v>
      </c>
      <c r="S27" s="114">
        <f t="shared" ref="S27" si="8">S26+R27</f>
        <v>2165.2249999999999</v>
      </c>
      <c r="T27" s="114">
        <f t="shared" ref="T27" si="9">T26+S27</f>
        <v>2173.2249999999999</v>
      </c>
      <c r="U27" s="114">
        <f t="shared" ref="U27" si="10">U26+T27</f>
        <v>2178.4749999999999</v>
      </c>
      <c r="V27" s="114">
        <f t="shared" ref="V27" si="11">V26+U27</f>
        <v>2187.1</v>
      </c>
      <c r="W27" s="114">
        <f t="shared" ref="W27" si="12">W26+V27</f>
        <v>2189.4749999999999</v>
      </c>
      <c r="X27" s="114">
        <f t="shared" ref="X27" si="13">X26+W27</f>
        <v>2199.1</v>
      </c>
      <c r="Y27" s="114">
        <f t="shared" ref="Y27" si="14">Y26+X27</f>
        <v>2199.1</v>
      </c>
      <c r="Z27" s="114">
        <f>Z26+Y27</f>
        <v>2199.1</v>
      </c>
    </row>
    <row r="28" spans="1:26" x14ac:dyDescent="0.3">
      <c r="A28" s="22" t="s">
        <v>270</v>
      </c>
    </row>
    <row r="29" spans="1:26" x14ac:dyDescent="0.3">
      <c r="A29" s="164" t="s">
        <v>69</v>
      </c>
      <c r="B29" s="115">
        <v>0</v>
      </c>
      <c r="C29" s="115">
        <v>0</v>
      </c>
      <c r="D29" s="115">
        <v>0</v>
      </c>
      <c r="E29" s="115">
        <v>0</v>
      </c>
      <c r="F29" s="115">
        <f>F7*TCC!$C$6</f>
        <v>2802.4242424242425</v>
      </c>
      <c r="G29" s="115">
        <f>G7*TCC!$C$6</f>
        <v>2522.181818181818</v>
      </c>
      <c r="H29" s="115">
        <f>H7*TCC!$C$6</f>
        <v>2382.060606060606</v>
      </c>
      <c r="I29" s="115">
        <f>I7*TCC!$C$6</f>
        <v>2522.181818181818</v>
      </c>
      <c r="J29" s="115">
        <f>J7*TCC!$C$6</f>
        <v>1681.4545454545455</v>
      </c>
      <c r="K29" s="115">
        <f>K7*TCC!$C$6</f>
        <v>0</v>
      </c>
      <c r="L29" s="115">
        <f>L7*TCC!$C$6</f>
        <v>0</v>
      </c>
      <c r="M29" s="115">
        <f>M7*TCC!$E$6</f>
        <v>0</v>
      </c>
      <c r="N29" s="115">
        <f>N7*TCC!$E$6</f>
        <v>0</v>
      </c>
      <c r="O29" s="115">
        <f>O7*TCC!$E$6</f>
        <v>0</v>
      </c>
      <c r="P29" s="115">
        <f>P7*TCC!$E6</f>
        <v>0</v>
      </c>
      <c r="Q29" s="115">
        <f>Q7*TCC!$E6</f>
        <v>0</v>
      </c>
      <c r="R29" s="115">
        <f>R7*TCC!$E6</f>
        <v>0</v>
      </c>
      <c r="S29" s="115">
        <f>S7*TCC!$E6</f>
        <v>0</v>
      </c>
      <c r="T29" s="115">
        <f>T7*TCC!$E6</f>
        <v>0</v>
      </c>
      <c r="U29" s="115">
        <f>U7*TCC!$E6</f>
        <v>0</v>
      </c>
      <c r="V29" s="115">
        <f>V7*TCC!$E6</f>
        <v>0</v>
      </c>
      <c r="W29" s="115">
        <f>W7*TCC!$E6</f>
        <v>0</v>
      </c>
      <c r="X29" s="115">
        <f>X7*TCC!$E6</f>
        <v>0</v>
      </c>
      <c r="Y29" s="115">
        <f>Y7*TCC!$E6</f>
        <v>0</v>
      </c>
      <c r="Z29" s="115">
        <f>Z7*TCC!$E6</f>
        <v>0</v>
      </c>
    </row>
    <row r="30" spans="1:26" x14ac:dyDescent="0.3">
      <c r="A30" s="164" t="s">
        <v>70</v>
      </c>
      <c r="B30" s="115">
        <f>B8*TCC!$C$7</f>
        <v>0</v>
      </c>
      <c r="C30" s="115">
        <f>C8*TCC!$C$7</f>
        <v>0</v>
      </c>
      <c r="D30" s="115">
        <f>D8*TCC!$C$7</f>
        <v>0</v>
      </c>
      <c r="E30" s="115">
        <f>E8*TCC!$C$7</f>
        <v>0</v>
      </c>
      <c r="F30" s="115">
        <f>F8*TCC!$C$7</f>
        <v>2302.5867136363636</v>
      </c>
      <c r="G30" s="115">
        <f>G8*TCC!$C$7</f>
        <v>3198.0371022727272</v>
      </c>
      <c r="H30" s="115">
        <f>H8*TCC!$C$7</f>
        <v>3325.9585863636362</v>
      </c>
      <c r="I30" s="115">
        <f>I8*TCC!$C$7</f>
        <v>4013.5365633522729</v>
      </c>
      <c r="J30" s="115">
        <f>J8*TCC!$C$7</f>
        <v>0</v>
      </c>
      <c r="K30" s="115">
        <f>K8*TCC!$C$7</f>
        <v>0</v>
      </c>
      <c r="L30" s="115">
        <f>L8*TCC!$C$7</f>
        <v>0</v>
      </c>
      <c r="M30" s="115">
        <f>M8*TCC!$E$6</f>
        <v>0</v>
      </c>
      <c r="N30" s="115">
        <f>N8*TCC!$E$6</f>
        <v>0</v>
      </c>
      <c r="O30" s="115">
        <f>O8*TCC!$E$6</f>
        <v>0</v>
      </c>
      <c r="P30" s="115">
        <f>P8*TCC!$E7</f>
        <v>0</v>
      </c>
      <c r="Q30" s="115">
        <f>Q8*TCC!$E7</f>
        <v>0</v>
      </c>
      <c r="R30" s="115">
        <f>R8*TCC!$E7</f>
        <v>0</v>
      </c>
      <c r="S30" s="115">
        <f>S8*TCC!$E7</f>
        <v>0</v>
      </c>
      <c r="T30" s="115">
        <f>T8*TCC!$E7</f>
        <v>0</v>
      </c>
      <c r="U30" s="115">
        <f>U8*TCC!$E7</f>
        <v>0</v>
      </c>
      <c r="V30" s="115">
        <f>V8*TCC!$E7</f>
        <v>0</v>
      </c>
      <c r="W30" s="115">
        <f>W8*TCC!$E7</f>
        <v>0</v>
      </c>
      <c r="X30" s="115">
        <f>X8*TCC!$E7</f>
        <v>0</v>
      </c>
      <c r="Y30" s="115">
        <f>Y8*TCC!$E7</f>
        <v>0</v>
      </c>
      <c r="Z30" s="115">
        <f>Z8*TCC!$E7</f>
        <v>0</v>
      </c>
    </row>
    <row r="31" spans="1:26" x14ac:dyDescent="0.3">
      <c r="A31" s="164" t="s">
        <v>71</v>
      </c>
      <c r="B31" s="115">
        <f>B9*TCC!$C$8</f>
        <v>0</v>
      </c>
      <c r="C31" s="115">
        <f>C9*TCC!$C$8</f>
        <v>1394.2915500000001</v>
      </c>
      <c r="D31" s="115">
        <f>D9*TCC!$C$8</f>
        <v>1394.2915500000001</v>
      </c>
      <c r="E31" s="115">
        <f>E9*TCC!$C$8</f>
        <v>3718.1108000000004</v>
      </c>
      <c r="F31" s="115">
        <f>F9*TCC!$C$8</f>
        <v>3020.9650250000004</v>
      </c>
      <c r="G31" s="115">
        <f>G9*TCC!$C$8</f>
        <v>3718.1108000000004</v>
      </c>
      <c r="H31" s="115">
        <f>H9*TCC!$C$8</f>
        <v>4415.2565750000003</v>
      </c>
      <c r="I31" s="115">
        <f>I9*TCC!$C$8</f>
        <v>3137.1559875000003</v>
      </c>
      <c r="J31" s="115">
        <f>J9*TCC!$C$8</f>
        <v>1742.8644375000001</v>
      </c>
      <c r="K31" s="115">
        <f>K9*TCC!C8</f>
        <v>3485.7288750000002</v>
      </c>
      <c r="L31" s="115">
        <f>L9*TCC!$C$8</f>
        <v>1278.1005875000001</v>
      </c>
      <c r="M31" s="115">
        <f>M9*TCC!$E$6</f>
        <v>0</v>
      </c>
      <c r="N31" s="115">
        <f>N9*TCC!$E$6</f>
        <v>0</v>
      </c>
      <c r="O31" s="115">
        <f>O9*TCC!$E$6</f>
        <v>0</v>
      </c>
      <c r="P31" s="115">
        <f>P9*TCC!$E8</f>
        <v>144.49040194166668</v>
      </c>
      <c r="Q31" s="115">
        <f>Q9*TCC!$E8</f>
        <v>0</v>
      </c>
      <c r="R31" s="115">
        <f>R9*TCC!$E8</f>
        <v>903.06501213541674</v>
      </c>
      <c r="S31" s="115">
        <f>S9*TCC!$E8</f>
        <v>72.245200970833338</v>
      </c>
      <c r="T31" s="115">
        <f>T9*TCC!$E8</f>
        <v>0</v>
      </c>
      <c r="U31" s="115">
        <f>U9*TCC!$E8</f>
        <v>0</v>
      </c>
      <c r="V31" s="115">
        <f>V9*TCC!$E8</f>
        <v>0</v>
      </c>
      <c r="W31" s="115">
        <f>W9*TCC!$E8</f>
        <v>0</v>
      </c>
      <c r="X31" s="115">
        <f>X9*TCC!$E8</f>
        <v>144.49040194166668</v>
      </c>
      <c r="Y31" s="115">
        <f>Y9*TCC!$E8</f>
        <v>0</v>
      </c>
      <c r="Z31" s="115">
        <f>Z9*TCC!$E8</f>
        <v>0</v>
      </c>
    </row>
    <row r="32" spans="1:26" x14ac:dyDescent="0.3">
      <c r="A32" s="164" t="s">
        <v>72</v>
      </c>
      <c r="B32" s="115">
        <f>B10*TCC!$C$9</f>
        <v>0</v>
      </c>
      <c r="C32" s="115">
        <f>C10*TCC!$C$9</f>
        <v>0</v>
      </c>
      <c r="D32" s="115">
        <f>D10*TCC!$C$9</f>
        <v>0</v>
      </c>
      <c r="E32" s="115">
        <f>E10*TCC!$C$9</f>
        <v>0</v>
      </c>
      <c r="F32" s="115">
        <f>F10*TCC!$C$9</f>
        <v>0</v>
      </c>
      <c r="G32" s="115">
        <f>G10*TCC!$C$9</f>
        <v>6673.8357556766668</v>
      </c>
      <c r="H32" s="115">
        <f>H10*TCC!$C$9</f>
        <v>6067.123414251515</v>
      </c>
      <c r="I32" s="115">
        <f>I10*TCC!$C$9</f>
        <v>6067.123414251515</v>
      </c>
      <c r="J32" s="115">
        <f>J10*TCC!$C$9</f>
        <v>8418.1337372739781</v>
      </c>
      <c r="K32" s="115">
        <f>K10*TCC!C9</f>
        <v>6067.123414251515</v>
      </c>
      <c r="L32" s="115">
        <f>L10*TCC!$C$9</f>
        <v>11527.534487077879</v>
      </c>
      <c r="M32" s="115">
        <f>M10*TCC!$E$6</f>
        <v>1387.1999999999998</v>
      </c>
      <c r="N32" s="115">
        <f>N10*TCC!$E$6</f>
        <v>924.8</v>
      </c>
      <c r="O32" s="115">
        <f>O10*TCC!$E$6</f>
        <v>0</v>
      </c>
      <c r="P32" s="115">
        <f>P10*TCC!$E9</f>
        <v>0</v>
      </c>
      <c r="Q32" s="115">
        <f>Q10*TCC!$E9</f>
        <v>0</v>
      </c>
      <c r="R32" s="115">
        <f>R10*TCC!$E9</f>
        <v>0</v>
      </c>
      <c r="S32" s="115">
        <f>S10*TCC!$E9</f>
        <v>0</v>
      </c>
      <c r="T32" s="115">
        <f>T10*TCC!$E9</f>
        <v>0</v>
      </c>
      <c r="U32" s="115">
        <f>U10*TCC!$E9</f>
        <v>0</v>
      </c>
      <c r="V32" s="115">
        <f>V10*TCC!$E9</f>
        <v>0</v>
      </c>
      <c r="W32" s="115">
        <f>W10*TCC!$E9</f>
        <v>0</v>
      </c>
      <c r="X32" s="115">
        <f>X10*TCC!$E9</f>
        <v>0</v>
      </c>
      <c r="Y32" s="115">
        <f>Y10*TCC!$E9</f>
        <v>0</v>
      </c>
      <c r="Z32" s="115">
        <f>Z10*TCC!$E9</f>
        <v>0</v>
      </c>
    </row>
    <row r="33" spans="1:26" x14ac:dyDescent="0.3">
      <c r="A33" s="164" t="s">
        <v>73</v>
      </c>
      <c r="B33" s="115">
        <f>B11*TCC!$C$10</f>
        <v>8728.2897545454543</v>
      </c>
      <c r="C33" s="115">
        <f>C11*TCC!$C$10</f>
        <v>9213.1947409090917</v>
      </c>
      <c r="D33" s="115">
        <f>D11*TCC!$C$10</f>
        <v>9698.0997272727273</v>
      </c>
      <c r="E33" s="115">
        <f>E11*TCC!$C$10</f>
        <v>8728.2897545454543</v>
      </c>
      <c r="F33" s="115">
        <f>F11*TCC!$C$10</f>
        <v>7273.5747954545459</v>
      </c>
      <c r="G33" s="115">
        <f>G11*TCC!$C$10</f>
        <v>6788.6698090909094</v>
      </c>
      <c r="H33" s="115">
        <f>H11*TCC!$C$10</f>
        <v>7152.348548863637</v>
      </c>
      <c r="I33" s="115">
        <f>I11*TCC!$C$10</f>
        <v>8728.2897545454543</v>
      </c>
      <c r="J33" s="115">
        <f>J11*TCC!$C$10</f>
        <v>7091.7354255681821</v>
      </c>
      <c r="K33" s="115">
        <f>K11*TCC!C10</f>
        <v>9273.8078642045457</v>
      </c>
      <c r="L33" s="115">
        <f>L11*TCC!$C$10</f>
        <v>8607.0635079545464</v>
      </c>
      <c r="M33" s="115">
        <f>M11*TCC!$E$6</f>
        <v>2466.1333333333332</v>
      </c>
      <c r="N33" s="115">
        <f>N11*TCC!$E$6</f>
        <v>1753.2666666666667</v>
      </c>
      <c r="O33" s="115">
        <f>O11*TCC!$E$6</f>
        <v>693.59999999999991</v>
      </c>
      <c r="P33" s="115">
        <f>P11*TCC!$E10</f>
        <v>75.665227927083336</v>
      </c>
      <c r="Q33" s="115">
        <f>Q11*TCC!$E10</f>
        <v>0</v>
      </c>
      <c r="R33" s="115">
        <f>R11*TCC!$E10</f>
        <v>0</v>
      </c>
      <c r="S33" s="115">
        <f>S11*TCC!$E10</f>
        <v>0</v>
      </c>
      <c r="T33" s="115">
        <f>T11*TCC!$E10</f>
        <v>151.33045585416667</v>
      </c>
      <c r="U33" s="115">
        <f>U11*TCC!$E10</f>
        <v>0</v>
      </c>
      <c r="V33" s="115">
        <f>V11*TCC!$E10</f>
        <v>0</v>
      </c>
      <c r="W33" s="115">
        <f>W11*TCC!$E10</f>
        <v>0</v>
      </c>
      <c r="X33" s="115">
        <f>X11*TCC!$E10</f>
        <v>0</v>
      </c>
      <c r="Y33" s="115">
        <f>Y11*TCC!$E10</f>
        <v>0</v>
      </c>
      <c r="Z33" s="115">
        <f>Z11*TCC!$E10</f>
        <v>0</v>
      </c>
    </row>
    <row r="34" spans="1:26" x14ac:dyDescent="0.3">
      <c r="A34" s="164" t="s">
        <v>74</v>
      </c>
      <c r="B34" s="115">
        <f>B12*TCC!$C$11</f>
        <v>7110.7893649963644</v>
      </c>
      <c r="C34" s="115">
        <f>C12*TCC!$C$11</f>
        <v>7110.7893649963644</v>
      </c>
      <c r="D34" s="115">
        <f>D12*TCC!$C$11</f>
        <v>8690.9647794400007</v>
      </c>
      <c r="E34" s="115">
        <f>E12*TCC!$C$11</f>
        <v>7110.7893649963644</v>
      </c>
      <c r="F34" s="115">
        <f>F12*TCC!$C$11</f>
        <v>7505.8332186072739</v>
      </c>
      <c r="G34" s="115">
        <f>G12*TCC!$C$11</f>
        <v>8690.9647794400007</v>
      </c>
      <c r="H34" s="115">
        <f>H12*TCC!$C$11</f>
        <v>7012.0284015936368</v>
      </c>
      <c r="I34" s="115">
        <f>I12*TCC!$C$11</f>
        <v>8098.3989990236378</v>
      </c>
      <c r="J34" s="115">
        <f>J12*TCC!$C$11</f>
        <v>7604.5941820100006</v>
      </c>
      <c r="K34" s="115">
        <f>K12*TCC!C11</f>
        <v>7900.8770722181825</v>
      </c>
      <c r="L34" s="115">
        <f>L12*TCC!$C$11</f>
        <v>7802.1161088154558</v>
      </c>
      <c r="M34" s="115">
        <f>M12*TCC!$E$6</f>
        <v>1541.3333333333333</v>
      </c>
      <c r="N34" s="115">
        <f>N12*TCC!$E$6</f>
        <v>770.66666666666663</v>
      </c>
      <c r="O34" s="115">
        <f>O12*TCC!$E$6</f>
        <v>57.8</v>
      </c>
      <c r="P34" s="115">
        <f>P12*TCC!$E11</f>
        <v>1632.53301795325</v>
      </c>
      <c r="Q34" s="115">
        <f>Q12*TCC!$E11</f>
        <v>0</v>
      </c>
      <c r="R34" s="115">
        <f>R12*TCC!$E11</f>
        <v>116.60950128237501</v>
      </c>
      <c r="S34" s="115">
        <f>S12*TCC!$E11</f>
        <v>233.21900256475001</v>
      </c>
      <c r="T34" s="115">
        <f>T12*TCC!$E11</f>
        <v>1515.9235166708752</v>
      </c>
      <c r="U34" s="115">
        <f>U12*TCC!$E11</f>
        <v>1049.485511541375</v>
      </c>
      <c r="V34" s="115">
        <f>V12*TCC!$E11</f>
        <v>1399.3140153885001</v>
      </c>
      <c r="W34" s="115">
        <f>W12*TCC!$E11</f>
        <v>466.43800512950003</v>
      </c>
      <c r="X34" s="115">
        <f>X12*TCC!$E11</f>
        <v>0</v>
      </c>
      <c r="Y34" s="115">
        <f>Y12*TCC!$E11</f>
        <v>0</v>
      </c>
      <c r="Z34" s="115">
        <f>Z12*TCC!$E11</f>
        <v>0</v>
      </c>
    </row>
    <row r="35" spans="1:26" x14ac:dyDescent="0.3">
      <c r="A35" s="164" t="s">
        <v>75</v>
      </c>
      <c r="B35" s="115">
        <f>B13*TCC!$C$12</f>
        <v>0</v>
      </c>
      <c r="C35" s="115">
        <f>C13*TCC!$C$12</f>
        <v>0</v>
      </c>
      <c r="D35" s="115">
        <f>D13*TCC!$C$12</f>
        <v>0</v>
      </c>
      <c r="E35" s="115">
        <f>E13*TCC!$C$12</f>
        <v>1081.8181818181818</v>
      </c>
      <c r="F35" s="115">
        <f>F13*TCC!$C$12</f>
        <v>309.09090909090907</v>
      </c>
      <c r="G35" s="115">
        <f>G13*TCC!$C$12</f>
        <v>3399.9999999999995</v>
      </c>
      <c r="H35" s="115">
        <f>H13*TCC!$C$12</f>
        <v>2086.363636363636</v>
      </c>
      <c r="I35" s="115">
        <f>I13*TCC!$C$12</f>
        <v>3245.454545454545</v>
      </c>
      <c r="J35" s="115">
        <f>J13*TCC!$C$12</f>
        <v>2917.0454545454545</v>
      </c>
      <c r="K35" s="115">
        <f>K13*TCC!C12</f>
        <v>3129.5454545454545</v>
      </c>
      <c r="L35" s="115">
        <f>L13*TCC!$C$12</f>
        <v>2781.8181818181815</v>
      </c>
      <c r="M35" s="115">
        <f>M13*TCC!$E$6</f>
        <v>1175.2666666666667</v>
      </c>
      <c r="N35" s="115">
        <f>N13*TCC!$E$6</f>
        <v>231.2</v>
      </c>
      <c r="O35" s="115">
        <f>O13*TCC!$E$6</f>
        <v>404.59999999999997</v>
      </c>
      <c r="P35" s="115">
        <f>P13*TCC!$E12</f>
        <v>40.100312593604173</v>
      </c>
      <c r="Q35" s="115">
        <f>Q13*TCC!$E12</f>
        <v>320.80250074883338</v>
      </c>
      <c r="R35" s="115">
        <f>R13*TCC!$E12</f>
        <v>0</v>
      </c>
      <c r="S35" s="115">
        <f>S13*TCC!$E12</f>
        <v>441.10343852964593</v>
      </c>
      <c r="T35" s="115">
        <f>T13*TCC!$E12</f>
        <v>0</v>
      </c>
      <c r="U35" s="115">
        <f>U13*TCC!$E12</f>
        <v>0</v>
      </c>
      <c r="V35" s="115">
        <f>V13*TCC!$E12</f>
        <v>40.100312593604173</v>
      </c>
      <c r="W35" s="115">
        <f>W13*TCC!$E12</f>
        <v>401.00312593604173</v>
      </c>
      <c r="X35" s="115">
        <f>X13*TCC!$E12</f>
        <v>0</v>
      </c>
      <c r="Y35" s="115">
        <f>Y13*TCC!$E12</f>
        <v>0</v>
      </c>
      <c r="Z35" s="115">
        <f>Z13*TCC!$E12</f>
        <v>0</v>
      </c>
    </row>
    <row r="36" spans="1:26" x14ac:dyDescent="0.3">
      <c r="A36" s="164" t="s">
        <v>76</v>
      </c>
      <c r="B36" s="115">
        <f>B14*TCC!$C$13</f>
        <v>2928.636363636364</v>
      </c>
      <c r="C36" s="115">
        <f>C14*TCC!$C$13</f>
        <v>2489.340909090909</v>
      </c>
      <c r="D36" s="115">
        <f>D14*TCC!$C$13</f>
        <v>3075.068181818182</v>
      </c>
      <c r="E36" s="115">
        <f>E14*TCC!$C$13</f>
        <v>2928.636363636364</v>
      </c>
      <c r="F36" s="115">
        <f>F14*TCC!$C$13</f>
        <v>2928.636363636364</v>
      </c>
      <c r="G36" s="115">
        <f>G14*TCC!$C$13</f>
        <v>3221.5</v>
      </c>
      <c r="H36" s="115">
        <f>H14*TCC!$C$13</f>
        <v>1867.005681818182</v>
      </c>
      <c r="I36" s="115">
        <f>I14*TCC!$C$13</f>
        <v>3020.15625</v>
      </c>
      <c r="J36" s="115">
        <f>J14*TCC!$C$13</f>
        <v>3038.4602272727275</v>
      </c>
      <c r="K36" s="115">
        <f>K14*TCC!C13</f>
        <v>3001.852272727273</v>
      </c>
      <c r="L36" s="115">
        <f>L14*TCC!$C$13</f>
        <v>1098.2386363636365</v>
      </c>
      <c r="M36" s="115">
        <f>M14*TCC!$E$6</f>
        <v>1772.5333333333333</v>
      </c>
      <c r="N36" s="115">
        <f>N14*TCC!$E$6</f>
        <v>1618.3999999999999</v>
      </c>
      <c r="O36" s="115">
        <f>O14*TCC!$E$6</f>
        <v>655.06666666666661</v>
      </c>
      <c r="P36" s="115">
        <f>P14*TCC!$E13</f>
        <v>148.76114534166669</v>
      </c>
      <c r="Q36" s="115">
        <f>Q14*TCC!$E13</f>
        <v>148.76114534166669</v>
      </c>
      <c r="R36" s="115">
        <f>R14*TCC!$E13</f>
        <v>0</v>
      </c>
      <c r="S36" s="115">
        <f>S14*TCC!$E13</f>
        <v>0</v>
      </c>
      <c r="T36" s="115">
        <f>T14*TCC!$E13</f>
        <v>0</v>
      </c>
      <c r="U36" s="115">
        <f>U14*TCC!$E13</f>
        <v>0</v>
      </c>
      <c r="V36" s="115">
        <f>V14*TCC!$E13</f>
        <v>0</v>
      </c>
      <c r="W36" s="115">
        <f>W14*TCC!$E13</f>
        <v>0</v>
      </c>
      <c r="X36" s="115">
        <f>X14*TCC!$E13</f>
        <v>0</v>
      </c>
      <c r="Y36" s="115">
        <f>Y14*TCC!$E13</f>
        <v>0</v>
      </c>
      <c r="Z36" s="115">
        <f>Z14*TCC!$E13</f>
        <v>0</v>
      </c>
    </row>
    <row r="37" spans="1:26" x14ac:dyDescent="0.3">
      <c r="A37" s="164" t="s">
        <v>77</v>
      </c>
      <c r="B37" s="115">
        <f>B15*TCC!$C$14</f>
        <v>4128.3030272727274</v>
      </c>
      <c r="C37" s="115">
        <f>C15*TCC!$C$14</f>
        <v>4357.6531954545453</v>
      </c>
      <c r="D37" s="115">
        <f>D15*TCC!$C$14</f>
        <v>5275.053868181818</v>
      </c>
      <c r="E37" s="115">
        <f>E15*TCC!$C$14</f>
        <v>4587.0033636363642</v>
      </c>
      <c r="F37" s="115">
        <f>F15*TCC!$C$14</f>
        <v>4587.0033636363642</v>
      </c>
      <c r="G37" s="115">
        <f>G15*TCC!$C$14</f>
        <v>5045.7037</v>
      </c>
      <c r="H37" s="115">
        <f>H15*TCC!$C$14</f>
        <v>4357.6531954545453</v>
      </c>
      <c r="I37" s="115">
        <f>I15*TCC!$C$14</f>
        <v>3898.9528590909094</v>
      </c>
      <c r="J37" s="115">
        <f>J15*TCC!$C$14</f>
        <v>4587.0033636363642</v>
      </c>
      <c r="K37" s="115">
        <f>K15*TCC!C14</f>
        <v>4357.6531954545453</v>
      </c>
      <c r="L37" s="115">
        <f>L15*TCC!$C$14</f>
        <v>4587.0033636363642</v>
      </c>
      <c r="M37" s="115">
        <f>M15*TCC!$E$6</f>
        <v>1695.4666666666667</v>
      </c>
      <c r="N37" s="115">
        <f>N15*TCC!$E$6</f>
        <v>616.5333333333333</v>
      </c>
      <c r="O37" s="115">
        <f>O15*TCC!$E$6</f>
        <v>0</v>
      </c>
      <c r="P37" s="115">
        <f>P15*TCC!$E14</f>
        <v>0</v>
      </c>
      <c r="Q37" s="115">
        <f>Q15*TCC!$E14</f>
        <v>0</v>
      </c>
      <c r="R37" s="115">
        <f>R15*TCC!$E14</f>
        <v>0</v>
      </c>
      <c r="S37" s="115">
        <f>S15*TCC!$E14</f>
        <v>0</v>
      </c>
      <c r="T37" s="115">
        <f>T15*TCC!$E14</f>
        <v>0</v>
      </c>
      <c r="U37" s="115">
        <f>U15*TCC!$E14</f>
        <v>0</v>
      </c>
      <c r="V37" s="115">
        <f>V15*TCC!$E14</f>
        <v>0</v>
      </c>
      <c r="W37" s="115">
        <f>W15*TCC!$E14</f>
        <v>0</v>
      </c>
      <c r="X37" s="115">
        <f>X15*TCC!$E14</f>
        <v>0</v>
      </c>
      <c r="Y37" s="115">
        <f>Y15*TCC!$E14</f>
        <v>0</v>
      </c>
      <c r="Z37" s="115">
        <f>Z15*TCC!$E14</f>
        <v>0</v>
      </c>
    </row>
    <row r="38" spans="1:26" x14ac:dyDescent="0.3">
      <c r="A38" s="164" t="s">
        <v>78</v>
      </c>
      <c r="B38" s="115">
        <f>B16*TCC!$C$13</f>
        <v>0</v>
      </c>
      <c r="C38" s="115">
        <f>C16*TCC!$C$13</f>
        <v>0</v>
      </c>
      <c r="D38" s="115">
        <f>D16*TCC!$C$13</f>
        <v>0</v>
      </c>
      <c r="E38" s="115">
        <f>E16*TCC!$C$13</f>
        <v>292.86363636363637</v>
      </c>
      <c r="F38" s="115">
        <f>F16*TCC!$C$13</f>
        <v>878.59090909090912</v>
      </c>
      <c r="G38" s="115">
        <f>G16*TCC!$C$15</f>
        <v>11628.808400598184</v>
      </c>
      <c r="H38" s="115">
        <f>H16*TCC!$C$15</f>
        <v>5329.870516940834</v>
      </c>
      <c r="I38" s="115">
        <f>I16*TCC!$C$15</f>
        <v>13082.409450672956</v>
      </c>
      <c r="J38" s="115">
        <f>J16*TCC!$C$15</f>
        <v>10478.040902622321</v>
      </c>
      <c r="K38" s="115">
        <f>K16*TCC!C15</f>
        <v>11871.075242277311</v>
      </c>
      <c r="L38" s="115">
        <f>L16*TCC!$C$15</f>
        <v>14051.476817389472</v>
      </c>
      <c r="M38" s="115">
        <f>M16*TCC!$E$6</f>
        <v>231.2</v>
      </c>
      <c r="N38" s="115">
        <f>N16*TCC!$E$6</f>
        <v>96.333333333333329</v>
      </c>
      <c r="O38" s="115">
        <f>O16*TCC!$E$6</f>
        <v>462.4</v>
      </c>
      <c r="P38" s="115">
        <f>P16*TCC!$E15</f>
        <v>3114.8974754624996</v>
      </c>
      <c r="Q38" s="115">
        <f>Q16*TCC!$E15</f>
        <v>239.60749811249997</v>
      </c>
      <c r="R38" s="115">
        <f>R16*TCC!$E15</f>
        <v>1198.0374905624999</v>
      </c>
      <c r="S38" s="115">
        <f>S16*TCC!$E15</f>
        <v>479.21499622499994</v>
      </c>
      <c r="T38" s="115">
        <f>T16*TCC!$E15</f>
        <v>0</v>
      </c>
      <c r="U38" s="115">
        <f>U16*TCC!$E15</f>
        <v>0</v>
      </c>
      <c r="V38" s="115">
        <f>V16*TCC!$E15</f>
        <v>0</v>
      </c>
      <c r="W38" s="115">
        <f>W16*TCC!$E15</f>
        <v>119.80374905624998</v>
      </c>
      <c r="X38" s="115">
        <f>X16*TCC!$E15</f>
        <v>0</v>
      </c>
      <c r="Y38" s="115">
        <f>Y16*TCC!$E15</f>
        <v>0</v>
      </c>
      <c r="Z38" s="115">
        <f>Z16*TCC!$E15</f>
        <v>0</v>
      </c>
    </row>
    <row r="39" spans="1:26" x14ac:dyDescent="0.3">
      <c r="A39" s="164" t="s">
        <v>79</v>
      </c>
      <c r="B39" s="115">
        <f>B17*TCC!$C$13</f>
        <v>1610.75</v>
      </c>
      <c r="C39" s="115">
        <f>C17*TCC!$C$13</f>
        <v>2196.477272727273</v>
      </c>
      <c r="D39" s="115">
        <f>D17*TCC!$C$13</f>
        <v>2196.477272727273</v>
      </c>
      <c r="E39" s="115">
        <f>E17*TCC!$C$13</f>
        <v>1464.318181818182</v>
      </c>
      <c r="F39" s="115">
        <f>F17*TCC!$C$13</f>
        <v>2196.477272727273</v>
      </c>
      <c r="G39" s="115">
        <f>G17*TCC!$C$16</f>
        <v>2391.8188636363639</v>
      </c>
      <c r="H39" s="115">
        <f>H17*TCC!$C$16</f>
        <v>2471.546159090909</v>
      </c>
      <c r="I39" s="115">
        <f>I17*TCC!$C$16</f>
        <v>2471.546159090909</v>
      </c>
      <c r="J39" s="115">
        <f>J17*TCC!$C$16</f>
        <v>1913.4550909090908</v>
      </c>
      <c r="K39" s="115">
        <f>K17*TCC!C16</f>
        <v>1913.4550909090908</v>
      </c>
      <c r="L39" s="115">
        <f>L17*TCC!$C$16</f>
        <v>2790.4553409090909</v>
      </c>
      <c r="M39" s="115">
        <f>M17*TCC!$E$6</f>
        <v>2851.4666666666667</v>
      </c>
      <c r="N39" s="115">
        <f>N17*TCC!$E$6</f>
        <v>770.66666666666663</v>
      </c>
      <c r="O39" s="115">
        <f>O17*TCC!$E$6</f>
        <v>0</v>
      </c>
      <c r="P39" s="115">
        <f>P17*TCC!$E16</f>
        <v>0</v>
      </c>
      <c r="Q39" s="115">
        <f>Q17*TCC!$E16</f>
        <v>0</v>
      </c>
      <c r="R39" s="115">
        <f>R17*TCC!$E16</f>
        <v>0</v>
      </c>
      <c r="S39" s="115">
        <f>S17*TCC!$E16</f>
        <v>0</v>
      </c>
      <c r="T39" s="115">
        <f>T17*TCC!$E16</f>
        <v>0</v>
      </c>
      <c r="U39" s="115">
        <f>U17*TCC!$E16</f>
        <v>0</v>
      </c>
      <c r="V39" s="115">
        <f>V17*TCC!$E16</f>
        <v>0</v>
      </c>
      <c r="W39" s="115">
        <f>W17*TCC!$E16</f>
        <v>0</v>
      </c>
      <c r="X39" s="115">
        <f>X17*TCC!$E16</f>
        <v>0</v>
      </c>
      <c r="Y39" s="115">
        <f>Y17*TCC!$E16</f>
        <v>0</v>
      </c>
      <c r="Z39" s="115">
        <f>Z17*TCC!$E16</f>
        <v>0</v>
      </c>
    </row>
    <row r="40" spans="1:26" ht="15.75" customHeight="1" x14ac:dyDescent="0.3">
      <c r="A40" s="164" t="s">
        <v>80</v>
      </c>
      <c r="B40" s="115">
        <f>B18*TCC!$C$13</f>
        <v>2782.2045454545455</v>
      </c>
      <c r="C40" s="115">
        <f>C18*TCC!$C$13</f>
        <v>2489.340909090909</v>
      </c>
      <c r="D40" s="115">
        <f>D18*TCC!$C$13</f>
        <v>2342.909090909091</v>
      </c>
      <c r="E40" s="115">
        <f>E18*TCC!$C$13</f>
        <v>1464.318181818182</v>
      </c>
      <c r="F40" s="115">
        <f>F18*TCC!$C$13</f>
        <v>2489.340909090909</v>
      </c>
      <c r="G40" s="115">
        <f>G18*TCC!$C$17</f>
        <v>15035.415875072724</v>
      </c>
      <c r="H40" s="115">
        <f>H18*TCC!$C$17</f>
        <v>12171.527136963634</v>
      </c>
      <c r="I40" s="115">
        <f>I18*TCC!$C$17</f>
        <v>7517.7079375363619</v>
      </c>
      <c r="J40" s="115">
        <f>J18*TCC!$C$17</f>
        <v>12171.527136963634</v>
      </c>
      <c r="K40" s="115">
        <f>K18*TCC!C17</f>
        <v>4295.8331071636358</v>
      </c>
      <c r="L40" s="115">
        <f>L18*TCC!$C$17</f>
        <v>3579.8609226363628</v>
      </c>
      <c r="M40" s="115">
        <f>M18*TCC!$E$6</f>
        <v>924.8</v>
      </c>
      <c r="N40" s="115">
        <f>N18*TCC!$E$6</f>
        <v>770.66666666666663</v>
      </c>
      <c r="O40" s="115">
        <f>O18*TCC!$E$6</f>
        <v>0</v>
      </c>
      <c r="P40" s="115">
        <f>P18*TCC!$E17</f>
        <v>1297.6632527974998</v>
      </c>
      <c r="Q40" s="115">
        <f>Q18*TCC!$E17</f>
        <v>0</v>
      </c>
      <c r="R40" s="115">
        <f>R18*TCC!$E17</f>
        <v>0</v>
      </c>
      <c r="S40" s="115">
        <f>S18*TCC!$E17</f>
        <v>0</v>
      </c>
      <c r="T40" s="115">
        <f>T18*TCC!$E17</f>
        <v>3460.4353407933331</v>
      </c>
      <c r="U40" s="115">
        <f>U18*TCC!$E17</f>
        <v>2595.3265055949996</v>
      </c>
      <c r="V40" s="115">
        <f>V18*TCC!$E17</f>
        <v>4758.0985935908329</v>
      </c>
      <c r="W40" s="115">
        <f>W18*TCC!$E17</f>
        <v>0</v>
      </c>
      <c r="X40" s="115">
        <f>X18*TCC!$E17</f>
        <v>7353.4250991858326</v>
      </c>
      <c r="Y40" s="115">
        <f>Y18*TCC!$E17</f>
        <v>0</v>
      </c>
      <c r="Z40" s="115">
        <f>Z18*TCC!$E17</f>
        <v>0</v>
      </c>
    </row>
    <row r="41" spans="1:26" x14ac:dyDescent="0.3">
      <c r="A41" s="164" t="s">
        <v>81</v>
      </c>
      <c r="B41" s="115">
        <f>B19*TCC!$C$18</f>
        <v>2501.9493969696964</v>
      </c>
      <c r="C41" s="115">
        <f>C19*TCC!$C$13</f>
        <v>2050.0454545454545</v>
      </c>
      <c r="D41" s="115">
        <f>D19*TCC!$C$13</f>
        <v>2635.7727272727275</v>
      </c>
      <c r="E41" s="115">
        <f>E19*TCC!$C$13</f>
        <v>2196.477272727273</v>
      </c>
      <c r="F41" s="115">
        <f>F19*TCC!$C$13</f>
        <v>2342.909090909091</v>
      </c>
      <c r="G41" s="115">
        <f>G19*TCC!$C$18</f>
        <v>0</v>
      </c>
      <c r="H41" s="115">
        <f>H19*TCC!$C$18</f>
        <v>0</v>
      </c>
      <c r="I41" s="115">
        <f>I19*TCC!$C$18</f>
        <v>1250.9746984848482</v>
      </c>
      <c r="J41" s="115">
        <f>J19*TCC!$C$18</f>
        <v>178.71067121212118</v>
      </c>
      <c r="K41" s="115">
        <f>K19*TCC!C18</f>
        <v>1965.8173833333331</v>
      </c>
      <c r="L41" s="115">
        <f>L19*TCC!$C$18</f>
        <v>0</v>
      </c>
      <c r="M41" s="115">
        <f>M19*TCC!$E$6</f>
        <v>308.26666666666665</v>
      </c>
      <c r="N41" s="115">
        <f>N19*TCC!$E$6</f>
        <v>0</v>
      </c>
      <c r="O41" s="115">
        <f>O19*TCC!$E$6</f>
        <v>0</v>
      </c>
      <c r="P41" s="115">
        <f>P19*TCC!$E18</f>
        <v>0</v>
      </c>
      <c r="Q41" s="115">
        <f>Q19*TCC!$E18</f>
        <v>0</v>
      </c>
      <c r="R41" s="115">
        <f>R19*TCC!$E18</f>
        <v>0</v>
      </c>
      <c r="S41" s="115">
        <f>S19*TCC!$E18</f>
        <v>0</v>
      </c>
      <c r="T41" s="115">
        <f>T19*TCC!$E18</f>
        <v>0</v>
      </c>
      <c r="U41" s="115">
        <f>U19*TCC!$E18</f>
        <v>0</v>
      </c>
      <c r="V41" s="115">
        <f>V19*TCC!$E18</f>
        <v>0</v>
      </c>
      <c r="W41" s="115">
        <f>W19*TCC!$E18</f>
        <v>0</v>
      </c>
      <c r="X41" s="115">
        <f>X19*TCC!$E18</f>
        <v>0</v>
      </c>
      <c r="Y41" s="115">
        <f>Y19*TCC!$E18</f>
        <v>0</v>
      </c>
      <c r="Z41" s="115">
        <f>Z19*TCC!$E18</f>
        <v>0</v>
      </c>
    </row>
    <row r="42" spans="1:26" x14ac:dyDescent="0.3">
      <c r="A42" s="164" t="s">
        <v>82</v>
      </c>
      <c r="B42" s="115">
        <f>B20*TCC!$C$19</f>
        <v>0</v>
      </c>
      <c r="C42" s="115">
        <f>C20*TCC!$C$13</f>
        <v>0</v>
      </c>
      <c r="D42" s="115">
        <f>D20*TCC!$C$13</f>
        <v>0</v>
      </c>
      <c r="E42" s="115">
        <f>E20*TCC!$C$13</f>
        <v>1171.4545454545455</v>
      </c>
      <c r="F42" s="115">
        <f>F20*TCC!$C$13</f>
        <v>1317.8863636363637</v>
      </c>
      <c r="G42" s="115">
        <f>G20*TCC!$C$19</f>
        <v>0</v>
      </c>
      <c r="H42" s="115">
        <f>H20*TCC!$C$19</f>
        <v>0</v>
      </c>
      <c r="I42" s="115">
        <f>I20*TCC!$C$19</f>
        <v>0</v>
      </c>
      <c r="J42" s="115">
        <f>J20*TCC!$C$19</f>
        <v>0</v>
      </c>
      <c r="K42" s="115">
        <f>K20*TCC!C19</f>
        <v>0</v>
      </c>
      <c r="L42" s="115">
        <f>L20*TCC!$C$19</f>
        <v>0</v>
      </c>
      <c r="M42" s="115">
        <f>M20*TCC!$E$6</f>
        <v>0</v>
      </c>
      <c r="N42" s="115">
        <f>N20*TCC!$E$6</f>
        <v>0</v>
      </c>
      <c r="O42" s="115">
        <f>O20*TCC!$E$6</f>
        <v>0</v>
      </c>
      <c r="P42" s="115">
        <f>P20*TCC!$E19</f>
        <v>0</v>
      </c>
      <c r="Q42" s="115">
        <f>Q20*TCC!$E19</f>
        <v>0</v>
      </c>
      <c r="R42" s="115">
        <f>R20*TCC!$E19</f>
        <v>0</v>
      </c>
      <c r="S42" s="115">
        <f>S20*TCC!$E19</f>
        <v>0</v>
      </c>
      <c r="T42" s="115">
        <f>T20*TCC!$E19</f>
        <v>0</v>
      </c>
      <c r="U42" s="115">
        <f>U20*TCC!$E19</f>
        <v>0</v>
      </c>
      <c r="V42" s="115">
        <f>V20*TCC!$E19</f>
        <v>0</v>
      </c>
      <c r="W42" s="115">
        <f>W20*TCC!$E19</f>
        <v>0</v>
      </c>
      <c r="X42" s="115">
        <f>X20*TCC!$E19</f>
        <v>0</v>
      </c>
      <c r="Y42" s="115">
        <f>Y20*TCC!$E19</f>
        <v>0</v>
      </c>
      <c r="Z42" s="115">
        <f>Z20*TCC!$E19</f>
        <v>0</v>
      </c>
    </row>
    <row r="43" spans="1:26" x14ac:dyDescent="0.3">
      <c r="A43" s="164" t="s">
        <v>83</v>
      </c>
      <c r="B43" s="115">
        <f>B21*TCC!$C$20</f>
        <v>0</v>
      </c>
      <c r="C43" s="115">
        <f>C21*TCC!$C$13</f>
        <v>0</v>
      </c>
      <c r="D43" s="115">
        <f>D21*TCC!$C$13</f>
        <v>3660.7954545454545</v>
      </c>
      <c r="E43" s="115">
        <f>E21*TCC!$C$13</f>
        <v>2928.636363636364</v>
      </c>
      <c r="F43" s="115">
        <f>F21*TCC!$C$13</f>
        <v>2928.636363636364</v>
      </c>
      <c r="G43" s="115">
        <f>G21*TCC!$C$20</f>
        <v>1422.4157575757577</v>
      </c>
      <c r="H43" s="115">
        <f>H21*TCC!$C$20</f>
        <v>0</v>
      </c>
      <c r="I43" s="115">
        <f>I21*TCC!$C$20</f>
        <v>2524.7879696969699</v>
      </c>
      <c r="J43" s="115">
        <f>J21*TCC!$C$20</f>
        <v>2844.8315151515153</v>
      </c>
      <c r="K43" s="115">
        <f>K21*TCC!C20</f>
        <v>2702.5899393939394</v>
      </c>
      <c r="L43" s="115">
        <f>L21*TCC!$C$20</f>
        <v>2844.8315151515153</v>
      </c>
      <c r="M43" s="115">
        <f>M21*TCC!$E$6</f>
        <v>732.13333333333333</v>
      </c>
      <c r="N43" s="115">
        <f>N21*TCC!$E$6</f>
        <v>0</v>
      </c>
      <c r="O43" s="115">
        <f>O21*TCC!$E$6</f>
        <v>0</v>
      </c>
      <c r="P43" s="115">
        <f>P21*TCC!$E20</f>
        <v>0</v>
      </c>
      <c r="Q43" s="115">
        <f>Q21*TCC!$E20</f>
        <v>0</v>
      </c>
      <c r="R43" s="115">
        <f>R21*TCC!$E20</f>
        <v>0</v>
      </c>
      <c r="S43" s="115">
        <f>S21*TCC!$E20</f>
        <v>0</v>
      </c>
      <c r="T43" s="115">
        <f>T21*TCC!$E20</f>
        <v>85.805374999999998</v>
      </c>
      <c r="U43" s="115">
        <f>U21*TCC!$E20</f>
        <v>0</v>
      </c>
      <c r="V43" s="115">
        <f>V21*TCC!$E20</f>
        <v>0</v>
      </c>
      <c r="W43" s="115">
        <f>W21*TCC!$E20</f>
        <v>0</v>
      </c>
      <c r="X43" s="115">
        <f>X21*TCC!$E20</f>
        <v>0</v>
      </c>
      <c r="Y43" s="115">
        <f>Y21*TCC!$E20</f>
        <v>0</v>
      </c>
      <c r="Z43" s="115">
        <f>Z21*TCC!$E20</f>
        <v>0</v>
      </c>
    </row>
    <row r="44" spans="1:26" x14ac:dyDescent="0.3">
      <c r="A44" s="164" t="s">
        <v>84</v>
      </c>
      <c r="B44" s="115">
        <f>B22*TCC!$C$21</f>
        <v>0</v>
      </c>
      <c r="C44" s="115">
        <f>C22*TCC!$C$13</f>
        <v>0</v>
      </c>
      <c r="D44" s="115">
        <f>D22*TCC!$C$13</f>
        <v>0</v>
      </c>
      <c r="E44" s="115">
        <f>E22*TCC!$C$13</f>
        <v>0</v>
      </c>
      <c r="F44" s="115">
        <f>F22*TCC!$C$13</f>
        <v>0</v>
      </c>
      <c r="G44" s="115">
        <f>G22*TCC!$C$21</f>
        <v>1938.772727272727</v>
      </c>
      <c r="H44" s="115">
        <f>H22*TCC!$C$21</f>
        <v>0</v>
      </c>
      <c r="I44" s="115">
        <f>I22*TCC!$C$21</f>
        <v>0</v>
      </c>
      <c r="J44" s="115">
        <f>J22*TCC!$C$21</f>
        <v>0</v>
      </c>
      <c r="K44" s="115">
        <f>K22*TCC!$C$21</f>
        <v>0</v>
      </c>
      <c r="L44" s="115">
        <f>L22*TCC!$C$21</f>
        <v>0</v>
      </c>
      <c r="M44" s="115">
        <f>M22*TCC!$E$6</f>
        <v>0</v>
      </c>
      <c r="N44" s="115">
        <f>N22*TCC!$E$6</f>
        <v>0</v>
      </c>
      <c r="O44" s="115">
        <f>O22*TCC!$E$6</f>
        <v>0</v>
      </c>
      <c r="P44" s="115">
        <f>P22*TCC!$E21</f>
        <v>0</v>
      </c>
      <c r="Q44" s="115">
        <f>Q22*TCC!$E21</f>
        <v>0</v>
      </c>
      <c r="R44" s="115">
        <f>R22*TCC!$E21</f>
        <v>0</v>
      </c>
      <c r="S44" s="115">
        <f>S22*TCC!$E21</f>
        <v>0</v>
      </c>
      <c r="T44" s="115">
        <f>T22*TCC!$E21</f>
        <v>0</v>
      </c>
      <c r="U44" s="115">
        <f>U22*TCC!$E21</f>
        <v>0</v>
      </c>
      <c r="V44" s="115">
        <f>V22*TCC!$E21</f>
        <v>0</v>
      </c>
      <c r="W44" s="115">
        <f>W22*TCC!$E21</f>
        <v>0</v>
      </c>
      <c r="X44" s="115">
        <f>X22*TCC!$E21</f>
        <v>0</v>
      </c>
      <c r="Y44" s="115">
        <f>Y22*TCC!$E21</f>
        <v>0</v>
      </c>
      <c r="Z44" s="115">
        <f>Z22*TCC!$E21</f>
        <v>0</v>
      </c>
    </row>
    <row r="45" spans="1:26" x14ac:dyDescent="0.3">
      <c r="A45" s="164" t="s">
        <v>85</v>
      </c>
      <c r="B45" s="115">
        <f>B23*TCC!$C$22</f>
        <v>0</v>
      </c>
      <c r="C45" s="115">
        <f>C23*TCC!$C$13</f>
        <v>0</v>
      </c>
      <c r="D45" s="115">
        <f>D23*TCC!$C$13</f>
        <v>0</v>
      </c>
      <c r="E45" s="115">
        <f>E23*TCC!$C$13</f>
        <v>0</v>
      </c>
      <c r="F45" s="115">
        <f>F23*TCC!$C$13</f>
        <v>0</v>
      </c>
      <c r="G45" s="115">
        <f>G23*TCC!$C$22</f>
        <v>0</v>
      </c>
      <c r="H45" s="115">
        <f>H23*TCC!$C$22</f>
        <v>0</v>
      </c>
      <c r="I45" s="115">
        <f>I23*TCC!$C$22</f>
        <v>0</v>
      </c>
      <c r="J45" s="115">
        <f>J23*TCC!$C$22</f>
        <v>0</v>
      </c>
      <c r="K45" s="115">
        <f>K23*TCC!$C$22</f>
        <v>0</v>
      </c>
      <c r="L45" s="115">
        <f>L23*TCC!$C$20</f>
        <v>0</v>
      </c>
      <c r="M45" s="115">
        <f>M23*TCC!$E$6</f>
        <v>0</v>
      </c>
      <c r="N45" s="115">
        <f>N23*TCC!$E$6</f>
        <v>0</v>
      </c>
      <c r="O45" s="115">
        <f>O23*TCC!$E$6</f>
        <v>0</v>
      </c>
      <c r="P45" s="115">
        <f>P23*TCC!$E22</f>
        <v>0</v>
      </c>
      <c r="Q45" s="115">
        <f>Q23*TCC!$E22</f>
        <v>0</v>
      </c>
      <c r="R45" s="115">
        <f>R23*TCC!$E22</f>
        <v>0</v>
      </c>
      <c r="S45" s="115">
        <f>S23*TCC!$E22</f>
        <v>0</v>
      </c>
      <c r="T45" s="115">
        <f>T23*TCC!$E22</f>
        <v>0</v>
      </c>
      <c r="U45" s="115">
        <f>U23*TCC!$E22</f>
        <v>0</v>
      </c>
      <c r="V45" s="115">
        <f>V23*TCC!$E22</f>
        <v>0</v>
      </c>
      <c r="W45" s="115">
        <f>W23*TCC!$E22</f>
        <v>0</v>
      </c>
      <c r="X45" s="115">
        <f>X23*TCC!$E22</f>
        <v>0</v>
      </c>
      <c r="Y45" s="115">
        <f>Y23*TCC!$E22</f>
        <v>0</v>
      </c>
      <c r="Z45" s="115">
        <f>Z23*TCC!$E22</f>
        <v>0</v>
      </c>
    </row>
    <row r="46" spans="1:26" x14ac:dyDescent="0.3">
      <c r="A46" s="164" t="s">
        <v>86</v>
      </c>
      <c r="B46" s="115">
        <f>B15*TCC!$C$23</f>
        <v>5252.5935809999992</v>
      </c>
      <c r="C46" s="115">
        <f>C15*TCC!$C$14</f>
        <v>4357.6531954545453</v>
      </c>
      <c r="D46" s="115">
        <f>D15*TCC!$C$14</f>
        <v>5275.053868181818</v>
      </c>
      <c r="E46" s="115">
        <f>E15*TCC!$C$14</f>
        <v>4587.0033636363642</v>
      </c>
      <c r="F46" s="115">
        <f>F15*TCC!$C$14</f>
        <v>4587.0033636363642</v>
      </c>
      <c r="G46" s="115">
        <f>G24*TCC!$C$23</f>
        <v>0</v>
      </c>
      <c r="H46" s="115">
        <f>H24*TCC!$C$23</f>
        <v>0</v>
      </c>
      <c r="I46" s="115">
        <f>I24*TCC!$C$23</f>
        <v>0</v>
      </c>
      <c r="J46" s="115">
        <f>J24*TCC!$C$23</f>
        <v>0</v>
      </c>
      <c r="K46" s="115">
        <f>K24*TCC!C23</f>
        <v>1050.5187162</v>
      </c>
      <c r="L46" s="115">
        <f>L24*TCC!$C$23</f>
        <v>1057.8139850624998</v>
      </c>
      <c r="M46" s="115">
        <f>M24*TCC!$E$6</f>
        <v>578</v>
      </c>
      <c r="N46" s="115">
        <f>N24*TCC!$E$6</f>
        <v>0</v>
      </c>
      <c r="O46" s="115">
        <f>O24*TCC!$E$6</f>
        <v>0</v>
      </c>
      <c r="P46" s="115">
        <f>P24*TCC!$E23</f>
        <v>0</v>
      </c>
      <c r="Q46" s="115">
        <f>Q24*TCC!$E23</f>
        <v>0</v>
      </c>
      <c r="R46" s="115">
        <f>R24*TCC!$E23</f>
        <v>0</v>
      </c>
      <c r="S46" s="115">
        <f>S24*TCC!$E23</f>
        <v>0</v>
      </c>
      <c r="T46" s="115">
        <f>T24*TCC!$E23</f>
        <v>0</v>
      </c>
      <c r="U46" s="115">
        <f>U24*TCC!$E23</f>
        <v>0</v>
      </c>
      <c r="V46" s="115">
        <f>V24*TCC!$E23</f>
        <v>0</v>
      </c>
      <c r="W46" s="115">
        <f>W24*TCC!$E23</f>
        <v>0</v>
      </c>
      <c r="X46" s="115">
        <f>X24*TCC!$E23</f>
        <v>200.61989371874998</v>
      </c>
      <c r="Y46" s="115">
        <f>Y24*TCC!$E23</f>
        <v>0</v>
      </c>
      <c r="Z46" s="115">
        <f>Z24*TCC!$E23</f>
        <v>0</v>
      </c>
    </row>
    <row r="47" spans="1:26" ht="31.2" x14ac:dyDescent="0.3">
      <c r="A47" s="522" t="s">
        <v>92</v>
      </c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618">
        <f>Missions!O3+Missions!O4</f>
        <v>11408.536</v>
      </c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 spans="1:26" ht="31.2" x14ac:dyDescent="0.3">
      <c r="A48" s="522" t="s">
        <v>93</v>
      </c>
      <c r="B48" s="165"/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 spans="1:26" ht="15.6" x14ac:dyDescent="0.3">
      <c r="A49" s="522" t="s">
        <v>88</v>
      </c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 spans="1:26" x14ac:dyDescent="0.3">
      <c r="A50" s="169" t="s">
        <v>87</v>
      </c>
      <c r="B50" s="171">
        <f>SUM(B29:B49)</f>
        <v>35043.516033875145</v>
      </c>
      <c r="C50" s="171">
        <f t="shared" ref="C50:N50" si="15">SUM(C29:C49)</f>
        <v>35658.786592269091</v>
      </c>
      <c r="D50" s="171">
        <f t="shared" si="15"/>
        <v>44244.486520349092</v>
      </c>
      <c r="E50" s="171">
        <f t="shared" si="15"/>
        <v>42259.719374087275</v>
      </c>
      <c r="F50" s="171">
        <f t="shared" si="15"/>
        <v>47470.95890421333</v>
      </c>
      <c r="G50" s="171">
        <f t="shared" si="15"/>
        <v>75676.235388817862</v>
      </c>
      <c r="H50" s="171">
        <f t="shared" si="15"/>
        <v>58638.742458764769</v>
      </c>
      <c r="I50" s="171">
        <f t="shared" si="15"/>
        <v>69578.676406882209</v>
      </c>
      <c r="J50" s="171">
        <f t="shared" si="15"/>
        <v>64667.856690119937</v>
      </c>
      <c r="K50" s="171">
        <f t="shared" si="15"/>
        <v>61015.877627678834</v>
      </c>
      <c r="L50" s="171">
        <f t="shared" si="15"/>
        <v>62006.313454315001</v>
      </c>
      <c r="M50" s="171">
        <f>SUM(M29:M49)</f>
        <v>27072.335999999999</v>
      </c>
      <c r="N50" s="171">
        <f t="shared" si="15"/>
        <v>7552.5333333333338</v>
      </c>
      <c r="O50" s="171">
        <f>SUM(O29:O49)</f>
        <v>2273.4666666666662</v>
      </c>
      <c r="P50" s="171">
        <f t="shared" ref="P50:Z50" si="16">SUM(P29:P49)</f>
        <v>6454.1108340172705</v>
      </c>
      <c r="Q50" s="171">
        <f t="shared" si="16"/>
        <v>709.17114420300004</v>
      </c>
      <c r="R50" s="171">
        <f t="shared" si="16"/>
        <v>2217.7120039802917</v>
      </c>
      <c r="S50" s="171">
        <f t="shared" si="16"/>
        <v>1225.7826382902292</v>
      </c>
      <c r="T50" s="171">
        <f t="shared" si="16"/>
        <v>5213.4946883183748</v>
      </c>
      <c r="U50" s="171">
        <f t="shared" si="16"/>
        <v>3644.8120171363744</v>
      </c>
      <c r="V50" s="171">
        <f t="shared" si="16"/>
        <v>6197.5129215729376</v>
      </c>
      <c r="W50" s="171">
        <f t="shared" si="16"/>
        <v>987.24488012179177</v>
      </c>
      <c r="X50" s="171">
        <f t="shared" si="16"/>
        <v>7698.5353948462489</v>
      </c>
      <c r="Y50" s="171">
        <f t="shared" si="16"/>
        <v>0</v>
      </c>
      <c r="Z50" s="171">
        <f t="shared" si="16"/>
        <v>0</v>
      </c>
    </row>
    <row r="51" spans="1:26" x14ac:dyDescent="0.3">
      <c r="A51" s="168" t="s">
        <v>228</v>
      </c>
      <c r="B51" s="79">
        <f>B50</f>
        <v>35043.516033875145</v>
      </c>
      <c r="C51" s="172">
        <f>C50+B51</f>
        <v>70702.302626144228</v>
      </c>
      <c r="D51" s="172">
        <f t="shared" ref="D51:N51" si="17">D50+C51</f>
        <v>114946.78914649332</v>
      </c>
      <c r="E51" s="172">
        <f t="shared" si="17"/>
        <v>157206.5085205806</v>
      </c>
      <c r="F51" s="172">
        <f t="shared" si="17"/>
        <v>204677.46742479393</v>
      </c>
      <c r="G51" s="172">
        <f>G50+F51</f>
        <v>280353.70281361177</v>
      </c>
      <c r="H51" s="172">
        <f>H50+G51</f>
        <v>338992.44527237653</v>
      </c>
      <c r="I51" s="172">
        <f t="shared" si="17"/>
        <v>408571.12167925877</v>
      </c>
      <c r="J51" s="172">
        <f t="shared" si="17"/>
        <v>473238.97836937872</v>
      </c>
      <c r="K51" s="172">
        <f t="shared" si="17"/>
        <v>534254.85599705752</v>
      </c>
      <c r="L51" s="172">
        <f>L50+K51</f>
        <v>596261.16945137247</v>
      </c>
      <c r="M51" s="172">
        <f t="shared" si="17"/>
        <v>623333.50545137248</v>
      </c>
      <c r="N51" s="172">
        <f t="shared" si="17"/>
        <v>630886.0387847058</v>
      </c>
      <c r="O51" s="172">
        <f t="shared" ref="O51" si="18">O50+N51</f>
        <v>633159.50545137248</v>
      </c>
      <c r="P51" s="172">
        <f t="shared" ref="P51" si="19">P50+O51</f>
        <v>639613.61628538975</v>
      </c>
      <c r="Q51" s="172">
        <f t="shared" ref="Q51" si="20">Q50+P51</f>
        <v>640322.7874295928</v>
      </c>
      <c r="R51" s="172">
        <f t="shared" ref="R51" si="21">R50+Q51</f>
        <v>642540.4994335731</v>
      </c>
      <c r="S51" s="172">
        <f t="shared" ref="S51" si="22">S50+R51</f>
        <v>643766.2820718633</v>
      </c>
      <c r="T51" s="172">
        <f t="shared" ref="T51" si="23">T50+S51</f>
        <v>648979.77676018164</v>
      </c>
      <c r="U51" s="172">
        <f t="shared" ref="U51" si="24">U50+T51</f>
        <v>652624.58877731801</v>
      </c>
      <c r="V51" s="172">
        <f t="shared" ref="V51" si="25">V50+U51</f>
        <v>658822.10169889091</v>
      </c>
      <c r="W51" s="172">
        <f t="shared" ref="W51" si="26">W50+V51</f>
        <v>659809.34657901269</v>
      </c>
      <c r="X51" s="172">
        <f t="shared" ref="X51" si="27">X50+W51</f>
        <v>667507.88197385892</v>
      </c>
      <c r="Y51" s="172">
        <f t="shared" ref="Y51" si="28">Y50+X51</f>
        <v>667507.88197385892</v>
      </c>
      <c r="Z51" s="172">
        <f t="shared" ref="Z51" si="29">Z50+Y51</f>
        <v>667507.88197385892</v>
      </c>
    </row>
  </sheetData>
  <phoneticPr fontId="10" type="noConversion"/>
  <hyperlinks>
    <hyperlink ref="A2" location="Dashboard!A1" display="Tableau de bord" xr:uid="{E3E9855D-C359-4F91-95AD-9414A4A160C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B5DF-F865-4658-8E37-8A2A36DB5DEF}">
  <sheetPr>
    <tabColor theme="9"/>
  </sheetPr>
  <dimension ref="A1:AA23"/>
  <sheetViews>
    <sheetView topLeftCell="B1" zoomScaleNormal="100" workbookViewId="0">
      <selection activeCell="M9" sqref="M9"/>
    </sheetView>
  </sheetViews>
  <sheetFormatPr defaultColWidth="11.44140625" defaultRowHeight="14.4" x14ac:dyDescent="0.3"/>
  <cols>
    <col min="1" max="1" width="18.44140625" hidden="1" customWidth="1"/>
    <col min="2" max="2" width="9.109375" customWidth="1"/>
    <col min="3" max="3" width="20.6640625" bestFit="1" customWidth="1"/>
    <col min="4" max="4" width="4.44140625" bestFit="1" customWidth="1"/>
    <col min="5" max="5" width="6.6640625" bestFit="1" customWidth="1"/>
    <col min="6" max="6" width="18.33203125" bestFit="1" customWidth="1"/>
    <col min="7" max="7" width="11.44140625" bestFit="1" customWidth="1"/>
    <col min="8" max="8" width="16" customWidth="1"/>
    <col min="9" max="9" width="21.44140625" bestFit="1" customWidth="1"/>
    <col min="10" max="10" width="17" bestFit="1" customWidth="1"/>
    <col min="11" max="11" width="19" bestFit="1" customWidth="1"/>
    <col min="12" max="12" width="16.6640625" bestFit="1" customWidth="1"/>
    <col min="13" max="13" width="18" bestFit="1" customWidth="1"/>
    <col min="14" max="14" width="12.6640625" bestFit="1" customWidth="1"/>
    <col min="15" max="15" width="7.44140625" bestFit="1" customWidth="1"/>
    <col min="16" max="16" width="7.6640625" customWidth="1"/>
    <col min="17" max="17" width="21.33203125" bestFit="1" customWidth="1"/>
    <col min="18" max="18" width="12.6640625" bestFit="1" customWidth="1"/>
    <col min="19" max="19" width="17.6640625" customWidth="1"/>
  </cols>
  <sheetData>
    <row r="1" spans="1:27" ht="15" thickBot="1" x14ac:dyDescent="0.35"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21.75" customHeight="1" thickBot="1" x14ac:dyDescent="0.35">
      <c r="A2" s="31" t="s">
        <v>4</v>
      </c>
      <c r="C2" s="10"/>
      <c r="D2" s="10"/>
      <c r="E2" s="10"/>
      <c r="F2" s="10"/>
      <c r="G2" s="10"/>
      <c r="H2" s="444" t="s">
        <v>251</v>
      </c>
      <c r="I2" s="445">
        <f>'Fiche identification'!B26</f>
        <v>1269861.4643999999</v>
      </c>
      <c r="J2" s="10"/>
      <c r="K2" s="621" t="s">
        <v>271</v>
      </c>
      <c r="L2" s="619">
        <f>I2-I3</f>
        <v>98420.962399999844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26.25" customHeight="1" thickBot="1" x14ac:dyDescent="0.35">
      <c r="C3" s="10"/>
      <c r="D3" s="10"/>
      <c r="E3" s="10"/>
      <c r="F3" s="10"/>
      <c r="G3" s="10"/>
      <c r="H3" s="444" t="s">
        <v>272</v>
      </c>
      <c r="I3" s="445">
        <v>1171440.5020000001</v>
      </c>
      <c r="K3" s="621" t="s">
        <v>273</v>
      </c>
      <c r="L3" s="620" t="e">
        <f>Missions!J20+Missions!J21+Missions!J22</f>
        <v>#REF!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ht="28.8" thickTop="1" thickBot="1" x14ac:dyDescent="0.35">
      <c r="A4" s="24" t="s">
        <v>213</v>
      </c>
      <c r="B4" s="29">
        <f>Dashboard!C22</f>
        <v>45997</v>
      </c>
      <c r="C4" s="10"/>
      <c r="D4" s="10"/>
      <c r="E4" s="10"/>
      <c r="F4" s="10"/>
      <c r="G4" s="10"/>
      <c r="H4" s="444" t="s">
        <v>252</v>
      </c>
      <c r="I4" s="446">
        <f>'Fiche identification'!B22</f>
        <v>248992444</v>
      </c>
      <c r="J4" s="615"/>
      <c r="K4" s="621" t="s">
        <v>274</v>
      </c>
      <c r="L4" s="624" t="e">
        <f>L2-L3</f>
        <v>#REF!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ht="15" thickTop="1" x14ac:dyDescent="0.3"/>
    <row r="6" spans="1:27" x14ac:dyDescent="0.3">
      <c r="B6" s="439" t="s">
        <v>267</v>
      </c>
      <c r="C6" s="439" t="s">
        <v>97</v>
      </c>
      <c r="D6" s="439" t="s">
        <v>103</v>
      </c>
      <c r="E6" s="439" t="s">
        <v>108</v>
      </c>
      <c r="F6" s="439" t="s">
        <v>102</v>
      </c>
      <c r="G6" s="439" t="s">
        <v>151</v>
      </c>
      <c r="H6" s="439" t="s">
        <v>255</v>
      </c>
      <c r="I6" s="439" t="s">
        <v>149</v>
      </c>
      <c r="J6" s="439" t="s">
        <v>256</v>
      </c>
      <c r="K6" s="439" t="s">
        <v>257</v>
      </c>
      <c r="L6" s="439" t="s">
        <v>258</v>
      </c>
      <c r="M6" s="439" t="s">
        <v>259</v>
      </c>
      <c r="N6" s="439" t="s">
        <v>153</v>
      </c>
      <c r="O6" s="439" t="s">
        <v>261</v>
      </c>
      <c r="P6" s="439" t="s">
        <v>262</v>
      </c>
      <c r="Q6" s="439" t="s">
        <v>263</v>
      </c>
      <c r="R6" s="439" t="s">
        <v>264</v>
      </c>
      <c r="S6" s="439" t="s">
        <v>154</v>
      </c>
    </row>
    <row r="7" spans="1:27" ht="15" thickBot="1" x14ac:dyDescent="0.35">
      <c r="A7" s="582">
        <v>45358</v>
      </c>
      <c r="B7" s="583">
        <v>1</v>
      </c>
      <c r="C7" s="583" t="s">
        <v>156</v>
      </c>
      <c r="D7" s="584">
        <v>0.1</v>
      </c>
      <c r="E7" s="583" t="s">
        <v>43</v>
      </c>
      <c r="F7" s="585">
        <v>22280339</v>
      </c>
      <c r="G7" s="586">
        <f>DATE(2024,3,6)+10</f>
        <v>45367</v>
      </c>
      <c r="H7" s="587" t="e">
        <f>F7*#REF!</f>
        <v>#REF!</v>
      </c>
      <c r="I7" s="588" t="e">
        <f>$I$2-H7</f>
        <v>#REF!</v>
      </c>
      <c r="J7" s="588" t="e">
        <f>H7</f>
        <v>#REF!</v>
      </c>
      <c r="K7" s="605" t="e">
        <f t="shared" ref="K7:K9" si="0">J7/$I$2</f>
        <v>#REF!</v>
      </c>
      <c r="L7" s="605" t="e">
        <f>100%-K7</f>
        <v>#REF!</v>
      </c>
      <c r="M7" s="586">
        <f>DATE(2024,3,6)+10</f>
        <v>45367</v>
      </c>
      <c r="N7" s="586">
        <v>45364</v>
      </c>
      <c r="O7" s="583" t="s">
        <v>144</v>
      </c>
      <c r="P7" s="583" t="s">
        <v>275</v>
      </c>
      <c r="Q7" s="590" t="e">
        <f>22280339/#REF!</f>
        <v>#REF!</v>
      </c>
      <c r="R7" s="590" t="e">
        <f>Q7</f>
        <v>#REF!</v>
      </c>
      <c r="S7" s="583" t="s">
        <v>276</v>
      </c>
    </row>
    <row r="8" spans="1:27" ht="15" thickBot="1" x14ac:dyDescent="0.35">
      <c r="A8" s="552">
        <v>45450</v>
      </c>
      <c r="B8" s="583">
        <v>2</v>
      </c>
      <c r="C8" s="583" t="s">
        <v>159</v>
      </c>
      <c r="D8" s="584">
        <v>0.16</v>
      </c>
      <c r="E8" s="583" t="s">
        <v>43</v>
      </c>
      <c r="F8" s="585">
        <v>35767792</v>
      </c>
      <c r="G8" s="586">
        <f>DATE(2024,6,6)+10</f>
        <v>45459</v>
      </c>
      <c r="H8" s="587" t="e">
        <f>F8*#REF!</f>
        <v>#REF!</v>
      </c>
      <c r="I8" s="588" t="e">
        <f>I7-H8</f>
        <v>#REF!</v>
      </c>
      <c r="J8" s="588" t="e">
        <f>H7+H8</f>
        <v>#REF!</v>
      </c>
      <c r="K8" s="605" t="e">
        <f t="shared" si="0"/>
        <v>#REF!</v>
      </c>
      <c r="L8" s="605" t="e">
        <f>100%-K8</f>
        <v>#REF!</v>
      </c>
      <c r="M8" s="586">
        <f>DATE(2024,6,6)+10</f>
        <v>45459</v>
      </c>
      <c r="N8" s="586">
        <v>45496</v>
      </c>
      <c r="O8" s="583" t="s">
        <v>144</v>
      </c>
      <c r="P8" s="583" t="s">
        <v>275</v>
      </c>
      <c r="Q8" s="590">
        <v>54655</v>
      </c>
      <c r="R8" s="590" t="e">
        <f>R7+Q8</f>
        <v>#REF!</v>
      </c>
      <c r="S8" s="583" t="s">
        <v>277</v>
      </c>
    </row>
    <row r="9" spans="1:27" ht="15" thickBot="1" x14ac:dyDescent="0.35">
      <c r="A9" s="552">
        <v>45511</v>
      </c>
      <c r="B9" s="583">
        <v>3</v>
      </c>
      <c r="C9" s="583" t="s">
        <v>161</v>
      </c>
      <c r="D9" s="584">
        <v>0.16</v>
      </c>
      <c r="E9" s="583" t="s">
        <v>43</v>
      </c>
      <c r="F9" s="585">
        <v>35791642</v>
      </c>
      <c r="G9" s="586">
        <f>DATE(2024,8,6)+10</f>
        <v>45520</v>
      </c>
      <c r="H9" s="587" t="e">
        <f>F9*#REF!</f>
        <v>#REF!</v>
      </c>
      <c r="I9" s="588" t="e">
        <f t="shared" ref="I9" si="1">I8-H9</f>
        <v>#REF!</v>
      </c>
      <c r="J9" s="588" t="e">
        <f>H7+H8+H9</f>
        <v>#REF!</v>
      </c>
      <c r="K9" s="605" t="e">
        <f t="shared" si="0"/>
        <v>#REF!</v>
      </c>
      <c r="L9" s="605" t="e">
        <f t="shared" ref="L9:L14" si="2">100%-K9</f>
        <v>#REF!</v>
      </c>
      <c r="M9" s="586">
        <f>DATE(2024,9,20)+10</f>
        <v>45565</v>
      </c>
      <c r="N9" s="586" t="s">
        <v>260</v>
      </c>
      <c r="O9" s="583" t="s">
        <v>144</v>
      </c>
      <c r="P9" s="583" t="s">
        <v>275</v>
      </c>
      <c r="Q9" s="590">
        <v>54346</v>
      </c>
      <c r="R9" s="590" t="e">
        <f t="shared" ref="R9:R14" si="3">R8+Q9</f>
        <v>#REF!</v>
      </c>
      <c r="S9" s="583" t="s">
        <v>278</v>
      </c>
    </row>
    <row r="10" spans="1:27" s="581" customFormat="1" ht="15" thickBot="1" x14ac:dyDescent="0.35">
      <c r="A10" s="580">
        <v>45572</v>
      </c>
      <c r="B10" s="583">
        <v>4</v>
      </c>
      <c r="C10" s="583" t="s">
        <v>163</v>
      </c>
      <c r="D10" s="584">
        <v>0.16</v>
      </c>
      <c r="E10" s="583" t="s">
        <v>43</v>
      </c>
      <c r="F10" s="585">
        <v>35791642</v>
      </c>
      <c r="G10" s="586">
        <f>DATE(2024,10,6)+10</f>
        <v>45581</v>
      </c>
      <c r="H10" s="587" t="e">
        <f>F10*#REF!</f>
        <v>#REF!</v>
      </c>
      <c r="I10" s="591" t="e">
        <f>I9-H10</f>
        <v>#REF!</v>
      </c>
      <c r="J10" s="591" t="e">
        <f>H7+H8+H9+H10</f>
        <v>#REF!</v>
      </c>
      <c r="K10" s="605" t="e">
        <f>J10/$I$2</f>
        <v>#REF!</v>
      </c>
      <c r="L10" s="605" t="e">
        <f t="shared" si="2"/>
        <v>#REF!</v>
      </c>
      <c r="M10" s="586">
        <f>DATE(2024,10,25)</f>
        <v>45590</v>
      </c>
      <c r="N10" s="586">
        <v>45593</v>
      </c>
      <c r="O10" s="583" t="s">
        <v>144</v>
      </c>
      <c r="P10" s="583" t="s">
        <v>275</v>
      </c>
      <c r="Q10" s="590">
        <v>54286</v>
      </c>
      <c r="R10" s="590" t="e">
        <f t="shared" si="3"/>
        <v>#REF!</v>
      </c>
      <c r="S10" s="583" t="s">
        <v>279</v>
      </c>
    </row>
    <row r="11" spans="1:27" s="581" customFormat="1" ht="15" thickBot="1" x14ac:dyDescent="0.35">
      <c r="A11" s="580">
        <v>45633</v>
      </c>
      <c r="B11" s="597">
        <v>5</v>
      </c>
      <c r="C11" s="597" t="s">
        <v>165</v>
      </c>
      <c r="D11" s="598">
        <v>0.16</v>
      </c>
      <c r="E11" s="597" t="s">
        <v>43</v>
      </c>
      <c r="F11" s="599">
        <v>35791642</v>
      </c>
      <c r="G11" s="600">
        <f>DATE(2024,12,6)+10</f>
        <v>45642</v>
      </c>
      <c r="H11" s="601" t="e">
        <f>F11*#REF!</f>
        <v>#REF!</v>
      </c>
      <c r="I11" s="602" t="e">
        <f>I10-H11</f>
        <v>#REF!</v>
      </c>
      <c r="J11" s="602" t="e">
        <f>SUM(H7:H11)</f>
        <v>#REF!</v>
      </c>
      <c r="K11" s="604" t="e">
        <f t="shared" ref="K11:K12" si="4">J11/$I$2</f>
        <v>#REF!</v>
      </c>
      <c r="L11" s="604" t="e">
        <f t="shared" si="2"/>
        <v>#REF!</v>
      </c>
      <c r="M11" s="600">
        <v>45657</v>
      </c>
      <c r="N11" s="600">
        <v>45657</v>
      </c>
      <c r="O11" s="597" t="s">
        <v>144</v>
      </c>
      <c r="P11" s="597" t="s">
        <v>47</v>
      </c>
      <c r="Q11" s="597"/>
      <c r="R11" s="603" t="e">
        <f t="shared" si="3"/>
        <v>#REF!</v>
      </c>
      <c r="S11" s="597" t="s">
        <v>280</v>
      </c>
    </row>
    <row r="12" spans="1:27" ht="15" thickBot="1" x14ac:dyDescent="0.35">
      <c r="A12" s="98">
        <v>45695</v>
      </c>
      <c r="B12" s="597">
        <v>6</v>
      </c>
      <c r="C12" s="597" t="s">
        <v>167</v>
      </c>
      <c r="D12" s="598">
        <v>0.16</v>
      </c>
      <c r="E12" s="597" t="s">
        <v>43</v>
      </c>
      <c r="F12" s="599">
        <v>42692650</v>
      </c>
      <c r="G12" s="600">
        <f>DATE(2025,2,6)+10</f>
        <v>45704</v>
      </c>
      <c r="H12" s="601" t="e">
        <f>F12*#REF!</f>
        <v>#REF!</v>
      </c>
      <c r="I12" s="602" t="e">
        <f>I11-H12</f>
        <v>#REF!</v>
      </c>
      <c r="J12" s="602" t="e">
        <f>SUM(H7:H12)</f>
        <v>#REF!</v>
      </c>
      <c r="K12" s="604" t="e">
        <f t="shared" si="4"/>
        <v>#REF!</v>
      </c>
      <c r="L12" s="604" t="e">
        <f t="shared" si="2"/>
        <v>#REF!</v>
      </c>
      <c r="M12" s="600">
        <v>45704</v>
      </c>
      <c r="N12" s="600">
        <v>45744</v>
      </c>
      <c r="O12" s="597" t="s">
        <v>144</v>
      </c>
      <c r="P12" s="597" t="s">
        <v>47</v>
      </c>
      <c r="Q12" s="597"/>
      <c r="R12" s="603" t="e">
        <f t="shared" si="3"/>
        <v>#REF!</v>
      </c>
      <c r="S12" s="597" t="s">
        <v>281</v>
      </c>
    </row>
    <row r="13" spans="1:27" ht="15" thickBot="1" x14ac:dyDescent="0.35">
      <c r="A13" s="98">
        <v>45876</v>
      </c>
      <c r="B13" s="597">
        <v>7</v>
      </c>
      <c r="C13" s="597" t="s">
        <v>169</v>
      </c>
      <c r="D13" s="598">
        <v>0.05</v>
      </c>
      <c r="E13" s="597" t="s">
        <v>43</v>
      </c>
      <c r="F13" s="599">
        <v>11223645</v>
      </c>
      <c r="G13" s="600">
        <f>DATE(2025,8,6)+10</f>
        <v>45885</v>
      </c>
      <c r="H13" s="601" t="e">
        <f>F13*#REF!</f>
        <v>#REF!</v>
      </c>
      <c r="I13" s="602" t="e">
        <f>I12-H13</f>
        <v>#REF!</v>
      </c>
      <c r="J13" s="602" t="e">
        <f>SUM(H7:H13)</f>
        <v>#REF!</v>
      </c>
      <c r="K13" s="604" t="e">
        <f>J13/$I$2</f>
        <v>#REF!</v>
      </c>
      <c r="L13" s="604" t="e">
        <f t="shared" si="2"/>
        <v>#REF!</v>
      </c>
      <c r="M13" s="600">
        <f>DATE(2025,8,6)+10</f>
        <v>45885</v>
      </c>
      <c r="N13" s="600">
        <v>45898</v>
      </c>
      <c r="O13" s="597" t="s">
        <v>144</v>
      </c>
      <c r="P13" s="597" t="s">
        <v>47</v>
      </c>
      <c r="Q13" s="597"/>
      <c r="R13" s="603" t="e">
        <f t="shared" si="3"/>
        <v>#REF!</v>
      </c>
      <c r="S13" s="597" t="s">
        <v>282</v>
      </c>
    </row>
    <row r="14" spans="1:27" ht="15" thickBot="1" x14ac:dyDescent="0.35">
      <c r="A14" s="98">
        <v>46060</v>
      </c>
      <c r="B14" s="439">
        <v>8</v>
      </c>
      <c r="C14" s="439" t="s">
        <v>171</v>
      </c>
      <c r="D14" s="440">
        <v>0.05</v>
      </c>
      <c r="E14" s="439" t="s">
        <v>43</v>
      </c>
      <c r="F14" s="441"/>
      <c r="G14" s="442">
        <f>DATE(2026,2,6)+10</f>
        <v>46069</v>
      </c>
      <c r="H14" s="554" t="e">
        <f>F14*#REF!</f>
        <v>#REF!</v>
      </c>
      <c r="I14" s="443" t="e">
        <f>I13-H14</f>
        <v>#REF!</v>
      </c>
      <c r="J14" s="443" t="e">
        <f>SUM(H7:H14)</f>
        <v>#REF!</v>
      </c>
      <c r="K14" s="606" t="e">
        <f>J14/$I$2</f>
        <v>#REF!</v>
      </c>
      <c r="L14" s="606" t="e">
        <f t="shared" si="2"/>
        <v>#REF!</v>
      </c>
      <c r="M14" s="442">
        <f>DATE(2026,2,6)+10</f>
        <v>46069</v>
      </c>
      <c r="N14" s="442"/>
      <c r="O14" s="439"/>
      <c r="P14" s="439"/>
      <c r="Q14" s="439"/>
      <c r="R14" s="592" t="e">
        <f t="shared" si="3"/>
        <v>#REF!</v>
      </c>
      <c r="S14" s="439"/>
    </row>
    <row r="16" spans="1:27" x14ac:dyDescent="0.3">
      <c r="F16" s="623">
        <f>D14*I3</f>
        <v>58572.025100000006</v>
      </c>
    </row>
    <row r="17" spans="6:16" x14ac:dyDescent="0.3">
      <c r="F17" s="614"/>
    </row>
    <row r="18" spans="6:16" x14ac:dyDescent="0.3">
      <c r="F18" s="614"/>
    </row>
    <row r="19" spans="6:16" x14ac:dyDescent="0.3">
      <c r="I19" s="526"/>
      <c r="K19" s="589"/>
    </row>
    <row r="20" spans="6:16" x14ac:dyDescent="0.3">
      <c r="I20" s="526"/>
      <c r="K20" s="589"/>
      <c r="L20" s="471"/>
      <c r="N20" s="526"/>
    </row>
    <row r="21" spans="6:16" x14ac:dyDescent="0.3">
      <c r="I21" s="526"/>
      <c r="K21" s="589"/>
      <c r="P21" s="109"/>
    </row>
    <row r="22" spans="6:16" x14ac:dyDescent="0.3">
      <c r="I22" s="526"/>
      <c r="K22" s="589"/>
    </row>
    <row r="23" spans="6:16" x14ac:dyDescent="0.3">
      <c r="I23" s="526"/>
      <c r="K23" s="589"/>
    </row>
  </sheetData>
  <phoneticPr fontId="10" type="noConversion"/>
  <conditionalFormatting sqref="Q6:Q14">
    <cfRule type="cellIs" dxfId="4" priority="1" operator="equal">
      <formula>"Non"</formula>
    </cfRule>
    <cfRule type="cellIs" dxfId="3" priority="2" operator="equal">
      <formula>"Oui"</formula>
    </cfRule>
  </conditionalFormatting>
  <dataValidations count="1">
    <dataValidation type="list" allowBlank="1" showInputMessage="1" showErrorMessage="1" sqref="P7:P14" xr:uid="{BBEF1AC7-1E41-40D8-A870-611B32229F83}">
      <formula1>"Oui , Non"</formula1>
    </dataValidation>
  </dataValidations>
  <hyperlinks>
    <hyperlink ref="A2" location="Dashboard!A1" display="Tableau de bord" xr:uid="{5C969086-A54A-4232-BEE8-C0DC57AC08C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CC0D2-6CCF-A940-BEB7-B9EF16A8C429}">
  <dimension ref="A1:Z33"/>
  <sheetViews>
    <sheetView showGridLines="0" topLeftCell="A10" zoomScale="145" zoomScaleNormal="145" workbookViewId="0">
      <selection activeCell="B30" sqref="B30"/>
    </sheetView>
  </sheetViews>
  <sheetFormatPr defaultColWidth="11.44140625" defaultRowHeight="14.4" x14ac:dyDescent="0.3"/>
  <cols>
    <col min="1" max="1" width="32.6640625" customWidth="1"/>
    <col min="2" max="2" width="18.109375" bestFit="1" customWidth="1"/>
    <col min="3" max="25" width="17.33203125" bestFit="1" customWidth="1"/>
  </cols>
  <sheetData>
    <row r="1" spans="1:25" ht="15" thickBot="1" x14ac:dyDescent="0.35"/>
    <row r="2" spans="1:25" ht="15" thickBot="1" x14ac:dyDescent="0.35">
      <c r="A2" s="24" t="s">
        <v>213</v>
      </c>
      <c r="C2" s="30" t="s">
        <v>4</v>
      </c>
    </row>
    <row r="3" spans="1:25" ht="18" x14ac:dyDescent="0.35">
      <c r="B3" s="224"/>
      <c r="C3" s="224"/>
      <c r="D3" s="224"/>
      <c r="E3" s="224"/>
      <c r="F3" s="224"/>
      <c r="G3" s="225" t="s">
        <v>283</v>
      </c>
      <c r="H3" s="224"/>
      <c r="I3" s="224"/>
      <c r="J3" s="224"/>
      <c r="K3" s="224"/>
      <c r="L3" s="224"/>
      <c r="M3" s="224"/>
      <c r="N3" s="671" t="s">
        <v>284</v>
      </c>
      <c r="O3" s="672"/>
      <c r="P3" s="672"/>
      <c r="Q3" s="672"/>
      <c r="R3" s="672"/>
      <c r="S3" s="672"/>
      <c r="T3" s="672"/>
      <c r="U3" s="672"/>
      <c r="V3" s="672"/>
      <c r="W3" s="672"/>
      <c r="X3" s="672"/>
      <c r="Y3" s="673"/>
    </row>
    <row r="4" spans="1:25" x14ac:dyDescent="0.3">
      <c r="A4" s="22" t="s">
        <v>285</v>
      </c>
      <c r="B4" s="134">
        <v>45323</v>
      </c>
      <c r="C4" s="135">
        <v>45352</v>
      </c>
      <c r="D4" s="135">
        <v>45383</v>
      </c>
      <c r="E4" s="135">
        <v>45413</v>
      </c>
      <c r="F4" s="135">
        <v>45444</v>
      </c>
      <c r="G4" s="135">
        <v>45474</v>
      </c>
      <c r="H4" s="135">
        <v>45505</v>
      </c>
      <c r="I4" s="135">
        <v>45536</v>
      </c>
      <c r="J4" s="135">
        <v>45566</v>
      </c>
      <c r="K4" s="135">
        <v>45597</v>
      </c>
      <c r="L4" s="135">
        <v>45627</v>
      </c>
      <c r="M4" s="157">
        <v>45658</v>
      </c>
      <c r="N4" s="134">
        <v>45689</v>
      </c>
      <c r="O4" s="135">
        <v>45717</v>
      </c>
      <c r="P4" s="135">
        <v>45748</v>
      </c>
      <c r="Q4" s="135">
        <v>45778</v>
      </c>
      <c r="R4" s="135">
        <v>45809</v>
      </c>
      <c r="S4" s="135">
        <v>45839</v>
      </c>
      <c r="T4" s="135">
        <v>45870</v>
      </c>
      <c r="U4" s="135">
        <v>45901</v>
      </c>
      <c r="V4" s="135">
        <v>45931</v>
      </c>
      <c r="W4" s="135">
        <v>45962</v>
      </c>
      <c r="X4" s="135">
        <v>45992</v>
      </c>
      <c r="Y4" s="136">
        <v>46023</v>
      </c>
    </row>
    <row r="5" spans="1:25" x14ac:dyDescent="0.3">
      <c r="A5" s="4" t="s">
        <v>42</v>
      </c>
      <c r="B5" s="137" t="s">
        <v>43</v>
      </c>
      <c r="C5" s="67" t="str">
        <f>$B$5</f>
        <v>FCFA</v>
      </c>
      <c r="D5" s="67" t="str">
        <f t="shared" ref="D5:Y5" si="0">$B$5</f>
        <v>FCFA</v>
      </c>
      <c r="E5" s="67" t="str">
        <f t="shared" si="0"/>
        <v>FCFA</v>
      </c>
      <c r="F5" s="67" t="str">
        <f t="shared" si="0"/>
        <v>FCFA</v>
      </c>
      <c r="G5" s="67" t="str">
        <f t="shared" si="0"/>
        <v>FCFA</v>
      </c>
      <c r="H5" s="67" t="str">
        <f t="shared" si="0"/>
        <v>FCFA</v>
      </c>
      <c r="I5" s="67" t="str">
        <f t="shared" si="0"/>
        <v>FCFA</v>
      </c>
      <c r="J5" s="67" t="str">
        <f t="shared" si="0"/>
        <v>FCFA</v>
      </c>
      <c r="K5" s="67" t="str">
        <f t="shared" si="0"/>
        <v>FCFA</v>
      </c>
      <c r="L5" s="67" t="str">
        <f t="shared" si="0"/>
        <v>FCFA</v>
      </c>
      <c r="M5" s="125" t="str">
        <f t="shared" si="0"/>
        <v>FCFA</v>
      </c>
      <c r="N5" s="137" t="str">
        <f t="shared" si="0"/>
        <v>FCFA</v>
      </c>
      <c r="O5" s="67" t="str">
        <f t="shared" si="0"/>
        <v>FCFA</v>
      </c>
      <c r="P5" s="67" t="str">
        <f t="shared" si="0"/>
        <v>FCFA</v>
      </c>
      <c r="Q5" s="67" t="str">
        <f t="shared" si="0"/>
        <v>FCFA</v>
      </c>
      <c r="R5" s="67" t="str">
        <f t="shared" si="0"/>
        <v>FCFA</v>
      </c>
      <c r="S5" s="67" t="str">
        <f t="shared" si="0"/>
        <v>FCFA</v>
      </c>
      <c r="T5" s="67" t="str">
        <f t="shared" si="0"/>
        <v>FCFA</v>
      </c>
      <c r="U5" s="67" t="str">
        <f t="shared" si="0"/>
        <v>FCFA</v>
      </c>
      <c r="V5" s="67" t="str">
        <f t="shared" si="0"/>
        <v>FCFA</v>
      </c>
      <c r="W5" s="67" t="str">
        <f t="shared" si="0"/>
        <v>FCFA</v>
      </c>
      <c r="X5" s="67" t="str">
        <f t="shared" si="0"/>
        <v>FCFA</v>
      </c>
      <c r="Y5" s="138" t="str">
        <f t="shared" si="0"/>
        <v>FCFA</v>
      </c>
    </row>
    <row r="6" spans="1:25" ht="27.6" x14ac:dyDescent="0.3">
      <c r="A6" s="4" t="s">
        <v>44</v>
      </c>
      <c r="B6" s="158">
        <v>248992444</v>
      </c>
      <c r="C6" s="82">
        <f>$B$6</f>
        <v>248992444</v>
      </c>
      <c r="D6" s="82">
        <f t="shared" ref="D6:Y6" si="1">$B$6</f>
        <v>248992444</v>
      </c>
      <c r="E6" s="82">
        <f t="shared" si="1"/>
        <v>248992444</v>
      </c>
      <c r="F6" s="82">
        <f t="shared" si="1"/>
        <v>248992444</v>
      </c>
      <c r="G6" s="82">
        <f t="shared" si="1"/>
        <v>248992444</v>
      </c>
      <c r="H6" s="82">
        <f t="shared" si="1"/>
        <v>248992444</v>
      </c>
      <c r="I6" s="82">
        <f t="shared" si="1"/>
        <v>248992444</v>
      </c>
      <c r="J6" s="82">
        <f t="shared" si="1"/>
        <v>248992444</v>
      </c>
      <c r="K6" s="82">
        <f t="shared" si="1"/>
        <v>248992444</v>
      </c>
      <c r="L6" s="82">
        <f t="shared" si="1"/>
        <v>248992444</v>
      </c>
      <c r="M6" s="126">
        <f t="shared" si="1"/>
        <v>248992444</v>
      </c>
      <c r="N6" s="139">
        <f t="shared" si="1"/>
        <v>248992444</v>
      </c>
      <c r="O6" s="82">
        <f t="shared" si="1"/>
        <v>248992444</v>
      </c>
      <c r="P6" s="82">
        <f t="shared" si="1"/>
        <v>248992444</v>
      </c>
      <c r="Q6" s="82">
        <f t="shared" si="1"/>
        <v>248992444</v>
      </c>
      <c r="R6" s="82">
        <f t="shared" si="1"/>
        <v>248992444</v>
      </c>
      <c r="S6" s="82">
        <f t="shared" si="1"/>
        <v>248992444</v>
      </c>
      <c r="T6" s="82">
        <f t="shared" si="1"/>
        <v>248992444</v>
      </c>
      <c r="U6" s="82">
        <f t="shared" si="1"/>
        <v>248992444</v>
      </c>
      <c r="V6" s="82">
        <f t="shared" si="1"/>
        <v>248992444</v>
      </c>
      <c r="W6" s="82">
        <f t="shared" si="1"/>
        <v>248992444</v>
      </c>
      <c r="X6" s="82">
        <f t="shared" si="1"/>
        <v>248992444</v>
      </c>
      <c r="Y6" s="140">
        <f t="shared" si="1"/>
        <v>248992444</v>
      </c>
    </row>
    <row r="7" spans="1:25" x14ac:dyDescent="0.3">
      <c r="A7" s="4" t="s">
        <v>45</v>
      </c>
      <c r="B7" s="137">
        <v>0</v>
      </c>
      <c r="C7" s="67">
        <f>$B$7</f>
        <v>0</v>
      </c>
      <c r="D7" s="67">
        <f t="shared" ref="D7:Y7" si="2">$B$7</f>
        <v>0</v>
      </c>
      <c r="E7" s="67">
        <f t="shared" si="2"/>
        <v>0</v>
      </c>
      <c r="F7" s="67">
        <f t="shared" si="2"/>
        <v>0</v>
      </c>
      <c r="G7" s="67">
        <f t="shared" si="2"/>
        <v>0</v>
      </c>
      <c r="H7" s="67">
        <f t="shared" si="2"/>
        <v>0</v>
      </c>
      <c r="I7" s="67">
        <f t="shared" si="2"/>
        <v>0</v>
      </c>
      <c r="J7" s="67">
        <f t="shared" si="2"/>
        <v>0</v>
      </c>
      <c r="K7" s="67">
        <f t="shared" si="2"/>
        <v>0</v>
      </c>
      <c r="L7" s="67">
        <f t="shared" si="2"/>
        <v>0</v>
      </c>
      <c r="M7" s="125">
        <f t="shared" si="2"/>
        <v>0</v>
      </c>
      <c r="N7" s="137">
        <f t="shared" si="2"/>
        <v>0</v>
      </c>
      <c r="O7" s="67">
        <f t="shared" si="2"/>
        <v>0</v>
      </c>
      <c r="P7" s="67">
        <f t="shared" si="2"/>
        <v>0</v>
      </c>
      <c r="Q7" s="67">
        <f t="shared" si="2"/>
        <v>0</v>
      </c>
      <c r="R7" s="67">
        <f t="shared" si="2"/>
        <v>0</v>
      </c>
      <c r="S7" s="67">
        <f t="shared" si="2"/>
        <v>0</v>
      </c>
      <c r="T7" s="67">
        <f t="shared" si="2"/>
        <v>0</v>
      </c>
      <c r="U7" s="67">
        <f t="shared" si="2"/>
        <v>0</v>
      </c>
      <c r="V7" s="67">
        <f t="shared" si="2"/>
        <v>0</v>
      </c>
      <c r="W7" s="67">
        <f t="shared" si="2"/>
        <v>0</v>
      </c>
      <c r="X7" s="67">
        <f t="shared" si="2"/>
        <v>0</v>
      </c>
      <c r="Y7" s="138">
        <f t="shared" si="2"/>
        <v>0</v>
      </c>
    </row>
    <row r="8" spans="1:25" x14ac:dyDescent="0.3">
      <c r="A8" s="4" t="s">
        <v>46</v>
      </c>
      <c r="B8" s="137" t="s">
        <v>47</v>
      </c>
      <c r="C8" s="67" t="str">
        <f>$B$8</f>
        <v>Non</v>
      </c>
      <c r="D8" s="67" t="str">
        <f t="shared" ref="D8:Y8" si="3">$B$8</f>
        <v>Non</v>
      </c>
      <c r="E8" s="67" t="str">
        <f t="shared" si="3"/>
        <v>Non</v>
      </c>
      <c r="F8" s="67" t="str">
        <f t="shared" si="3"/>
        <v>Non</v>
      </c>
      <c r="G8" s="67" t="str">
        <f t="shared" si="3"/>
        <v>Non</v>
      </c>
      <c r="H8" s="67" t="str">
        <f t="shared" si="3"/>
        <v>Non</v>
      </c>
      <c r="I8" s="67" t="str">
        <f t="shared" si="3"/>
        <v>Non</v>
      </c>
      <c r="J8" s="67" t="str">
        <f t="shared" si="3"/>
        <v>Non</v>
      </c>
      <c r="K8" s="67" t="str">
        <f t="shared" si="3"/>
        <v>Non</v>
      </c>
      <c r="L8" s="67" t="str">
        <f t="shared" si="3"/>
        <v>Non</v>
      </c>
      <c r="M8" s="125" t="str">
        <f t="shared" si="3"/>
        <v>Non</v>
      </c>
      <c r="N8" s="137" t="str">
        <f t="shared" si="3"/>
        <v>Non</v>
      </c>
      <c r="O8" s="67" t="str">
        <f t="shared" si="3"/>
        <v>Non</v>
      </c>
      <c r="P8" s="67" t="str">
        <f t="shared" si="3"/>
        <v>Non</v>
      </c>
      <c r="Q8" s="67" t="str">
        <f t="shared" si="3"/>
        <v>Non</v>
      </c>
      <c r="R8" s="67" t="str">
        <f t="shared" si="3"/>
        <v>Non</v>
      </c>
      <c r="S8" s="67" t="str">
        <f t="shared" si="3"/>
        <v>Non</v>
      </c>
      <c r="T8" s="67" t="str">
        <f t="shared" si="3"/>
        <v>Non</v>
      </c>
      <c r="U8" s="67" t="str">
        <f t="shared" si="3"/>
        <v>Non</v>
      </c>
      <c r="V8" s="67" t="str">
        <f t="shared" si="3"/>
        <v>Non</v>
      </c>
      <c r="W8" s="67" t="str">
        <f t="shared" si="3"/>
        <v>Non</v>
      </c>
      <c r="X8" s="67" t="str">
        <f t="shared" si="3"/>
        <v>Non</v>
      </c>
      <c r="Y8" s="138" t="str">
        <f t="shared" si="3"/>
        <v>Non</v>
      </c>
    </row>
    <row r="9" spans="1:25" x14ac:dyDescent="0.3">
      <c r="A9" s="4" t="s">
        <v>48</v>
      </c>
      <c r="B9" s="137">
        <v>0</v>
      </c>
      <c r="C9" s="67">
        <f>$B$9</f>
        <v>0</v>
      </c>
      <c r="D9" s="67">
        <f t="shared" ref="D9:Y9" si="4">$B$9</f>
        <v>0</v>
      </c>
      <c r="E9" s="67">
        <f t="shared" si="4"/>
        <v>0</v>
      </c>
      <c r="F9" s="67">
        <f t="shared" si="4"/>
        <v>0</v>
      </c>
      <c r="G9" s="67">
        <f t="shared" si="4"/>
        <v>0</v>
      </c>
      <c r="H9" s="67">
        <f t="shared" si="4"/>
        <v>0</v>
      </c>
      <c r="I9" s="67">
        <f t="shared" si="4"/>
        <v>0</v>
      </c>
      <c r="J9" s="67">
        <f t="shared" si="4"/>
        <v>0</v>
      </c>
      <c r="K9" s="67">
        <f t="shared" si="4"/>
        <v>0</v>
      </c>
      <c r="L9" s="67">
        <f t="shared" si="4"/>
        <v>0</v>
      </c>
      <c r="M9" s="125">
        <f t="shared" si="4"/>
        <v>0</v>
      </c>
      <c r="N9" s="137">
        <f t="shared" si="4"/>
        <v>0</v>
      </c>
      <c r="O9" s="67">
        <f t="shared" si="4"/>
        <v>0</v>
      </c>
      <c r="P9" s="67">
        <f t="shared" si="4"/>
        <v>0</v>
      </c>
      <c r="Q9" s="67">
        <f t="shared" si="4"/>
        <v>0</v>
      </c>
      <c r="R9" s="67">
        <f t="shared" si="4"/>
        <v>0</v>
      </c>
      <c r="S9" s="67">
        <f t="shared" si="4"/>
        <v>0</v>
      </c>
      <c r="T9" s="67">
        <f t="shared" si="4"/>
        <v>0</v>
      </c>
      <c r="U9" s="67">
        <f t="shared" si="4"/>
        <v>0</v>
      </c>
      <c r="V9" s="67">
        <f t="shared" si="4"/>
        <v>0</v>
      </c>
      <c r="W9" s="67">
        <f t="shared" si="4"/>
        <v>0</v>
      </c>
      <c r="X9" s="67">
        <f t="shared" si="4"/>
        <v>0</v>
      </c>
      <c r="Y9" s="138">
        <f t="shared" si="4"/>
        <v>0</v>
      </c>
    </row>
    <row r="10" spans="1:25" x14ac:dyDescent="0.3">
      <c r="A10" s="4" t="s">
        <v>49</v>
      </c>
      <c r="B10" s="137">
        <v>0</v>
      </c>
      <c r="C10" s="67">
        <f>$B$10</f>
        <v>0</v>
      </c>
      <c r="D10" s="67">
        <f t="shared" ref="D10:Y10" si="5">$B$10</f>
        <v>0</v>
      </c>
      <c r="E10" s="67">
        <f t="shared" si="5"/>
        <v>0</v>
      </c>
      <c r="F10" s="67">
        <f t="shared" si="5"/>
        <v>0</v>
      </c>
      <c r="G10" s="67">
        <f t="shared" si="5"/>
        <v>0</v>
      </c>
      <c r="H10" s="67">
        <f t="shared" si="5"/>
        <v>0</v>
      </c>
      <c r="I10" s="67">
        <f t="shared" si="5"/>
        <v>0</v>
      </c>
      <c r="J10" s="67">
        <f t="shared" si="5"/>
        <v>0</v>
      </c>
      <c r="K10" s="67">
        <f t="shared" si="5"/>
        <v>0</v>
      </c>
      <c r="L10" s="67">
        <f t="shared" si="5"/>
        <v>0</v>
      </c>
      <c r="M10" s="125">
        <f t="shared" si="5"/>
        <v>0</v>
      </c>
      <c r="N10" s="137">
        <f t="shared" si="5"/>
        <v>0</v>
      </c>
      <c r="O10" s="67">
        <f t="shared" si="5"/>
        <v>0</v>
      </c>
      <c r="P10" s="67">
        <f t="shared" si="5"/>
        <v>0</v>
      </c>
      <c r="Q10" s="67">
        <f t="shared" si="5"/>
        <v>0</v>
      </c>
      <c r="R10" s="67">
        <f t="shared" si="5"/>
        <v>0</v>
      </c>
      <c r="S10" s="67">
        <f t="shared" si="5"/>
        <v>0</v>
      </c>
      <c r="T10" s="67">
        <f t="shared" si="5"/>
        <v>0</v>
      </c>
      <c r="U10" s="67">
        <f t="shared" si="5"/>
        <v>0</v>
      </c>
      <c r="V10" s="67">
        <f t="shared" si="5"/>
        <v>0</v>
      </c>
      <c r="W10" s="67">
        <f t="shared" si="5"/>
        <v>0</v>
      </c>
      <c r="X10" s="67">
        <f t="shared" si="5"/>
        <v>0</v>
      </c>
      <c r="Y10" s="138">
        <f t="shared" si="5"/>
        <v>0</v>
      </c>
    </row>
    <row r="11" spans="1:25" x14ac:dyDescent="0.3">
      <c r="A11" s="4" t="s">
        <v>50</v>
      </c>
      <c r="B11" s="139">
        <f>'Fiche identification'!B22</f>
        <v>248992444</v>
      </c>
      <c r="C11" s="111">
        <f>$B$11</f>
        <v>248992444</v>
      </c>
      <c r="D11" s="111">
        <f t="shared" ref="D11:Y11" si="6">$B$11</f>
        <v>248992444</v>
      </c>
      <c r="E11" s="111">
        <f t="shared" si="6"/>
        <v>248992444</v>
      </c>
      <c r="F11" s="111">
        <f t="shared" si="6"/>
        <v>248992444</v>
      </c>
      <c r="G11" s="111">
        <f t="shared" si="6"/>
        <v>248992444</v>
      </c>
      <c r="H11" s="111">
        <f t="shared" si="6"/>
        <v>248992444</v>
      </c>
      <c r="I11" s="111">
        <f t="shared" si="6"/>
        <v>248992444</v>
      </c>
      <c r="J11" s="111">
        <f t="shared" si="6"/>
        <v>248992444</v>
      </c>
      <c r="K11" s="111">
        <f t="shared" si="6"/>
        <v>248992444</v>
      </c>
      <c r="L11" s="111">
        <f t="shared" si="6"/>
        <v>248992444</v>
      </c>
      <c r="M11" s="127">
        <f t="shared" si="6"/>
        <v>248992444</v>
      </c>
      <c r="N11" s="141">
        <f t="shared" si="6"/>
        <v>248992444</v>
      </c>
      <c r="O11" s="111">
        <f t="shared" si="6"/>
        <v>248992444</v>
      </c>
      <c r="P11" s="111">
        <f t="shared" si="6"/>
        <v>248992444</v>
      </c>
      <c r="Q11" s="111">
        <f t="shared" si="6"/>
        <v>248992444</v>
      </c>
      <c r="R11" s="111">
        <f t="shared" si="6"/>
        <v>248992444</v>
      </c>
      <c r="S11" s="111">
        <f t="shared" si="6"/>
        <v>248992444</v>
      </c>
      <c r="T11" s="111">
        <f t="shared" si="6"/>
        <v>248992444</v>
      </c>
      <c r="U11" s="111">
        <f t="shared" si="6"/>
        <v>248992444</v>
      </c>
      <c r="V11" s="111">
        <f t="shared" si="6"/>
        <v>248992444</v>
      </c>
      <c r="W11" s="111">
        <f t="shared" si="6"/>
        <v>248992444</v>
      </c>
      <c r="X11" s="111">
        <f t="shared" si="6"/>
        <v>248992444</v>
      </c>
      <c r="Y11" s="142">
        <f t="shared" si="6"/>
        <v>248992444</v>
      </c>
    </row>
    <row r="12" spans="1:25" ht="27.6" x14ac:dyDescent="0.3">
      <c r="A12" s="4" t="s">
        <v>51</v>
      </c>
      <c r="B12" s="145">
        <f>'Fiche identification'!B23</f>
        <v>1269861.4643999999</v>
      </c>
      <c r="C12" s="76">
        <f>$B$12</f>
        <v>1269861.4643999999</v>
      </c>
      <c r="D12" s="76">
        <f t="shared" ref="D12:P12" si="7">$B$12</f>
        <v>1269861.4643999999</v>
      </c>
      <c r="E12" s="76">
        <f t="shared" si="7"/>
        <v>1269861.4643999999</v>
      </c>
      <c r="F12" s="76">
        <f t="shared" si="7"/>
        <v>1269861.4643999999</v>
      </c>
      <c r="G12" s="76">
        <f t="shared" si="7"/>
        <v>1269861.4643999999</v>
      </c>
      <c r="H12" s="76">
        <f t="shared" si="7"/>
        <v>1269861.4643999999</v>
      </c>
      <c r="I12" s="76">
        <f t="shared" si="7"/>
        <v>1269861.4643999999</v>
      </c>
      <c r="J12" s="76">
        <f t="shared" si="7"/>
        <v>1269861.4643999999</v>
      </c>
      <c r="K12" s="76">
        <f t="shared" si="7"/>
        <v>1269861.4643999999</v>
      </c>
      <c r="L12" s="76">
        <f t="shared" si="7"/>
        <v>1269861.4643999999</v>
      </c>
      <c r="M12" s="128">
        <f t="shared" si="7"/>
        <v>1269861.4643999999</v>
      </c>
      <c r="N12" s="143">
        <f t="shared" si="7"/>
        <v>1269861.4643999999</v>
      </c>
      <c r="O12" s="76">
        <f t="shared" si="7"/>
        <v>1269861.4643999999</v>
      </c>
      <c r="P12" s="76">
        <f t="shared" si="7"/>
        <v>1269861.4643999999</v>
      </c>
      <c r="Q12" s="69"/>
      <c r="R12" s="69"/>
      <c r="S12" s="69"/>
      <c r="T12" s="69"/>
      <c r="U12" s="69"/>
      <c r="V12" s="69"/>
      <c r="W12" s="69"/>
      <c r="X12" s="69"/>
      <c r="Y12" s="144"/>
    </row>
    <row r="13" spans="1:25" ht="27.6" x14ac:dyDescent="0.3">
      <c r="A13" s="4" t="s">
        <v>286</v>
      </c>
      <c r="B13" s="137">
        <f>'Fiche identification'!B18</f>
        <v>0</v>
      </c>
      <c r="C13" s="67">
        <f>$B$13</f>
        <v>0</v>
      </c>
      <c r="D13" s="67">
        <f t="shared" ref="D13:P13" si="8">$B$13</f>
        <v>0</v>
      </c>
      <c r="E13" s="67">
        <f t="shared" si="8"/>
        <v>0</v>
      </c>
      <c r="F13" s="67">
        <f t="shared" si="8"/>
        <v>0</v>
      </c>
      <c r="G13" s="67">
        <f t="shared" si="8"/>
        <v>0</v>
      </c>
      <c r="H13" s="67">
        <f t="shared" si="8"/>
        <v>0</v>
      </c>
      <c r="I13" s="67">
        <f t="shared" si="8"/>
        <v>0</v>
      </c>
      <c r="J13" s="67">
        <f t="shared" si="8"/>
        <v>0</v>
      </c>
      <c r="K13" s="67">
        <f t="shared" si="8"/>
        <v>0</v>
      </c>
      <c r="L13" s="67">
        <f t="shared" si="8"/>
        <v>0</v>
      </c>
      <c r="M13" s="125">
        <f t="shared" si="8"/>
        <v>0</v>
      </c>
      <c r="N13" s="137">
        <f t="shared" si="8"/>
        <v>0</v>
      </c>
      <c r="O13" s="67">
        <f t="shared" si="8"/>
        <v>0</v>
      </c>
      <c r="P13" s="67">
        <f t="shared" si="8"/>
        <v>0</v>
      </c>
      <c r="Q13" s="67">
        <v>0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0</v>
      </c>
      <c r="X13" s="67">
        <v>0</v>
      </c>
      <c r="Y13" s="138">
        <v>0</v>
      </c>
    </row>
    <row r="14" spans="1:25" x14ac:dyDescent="0.3">
      <c r="A14" s="4" t="s">
        <v>53</v>
      </c>
      <c r="B14" s="137">
        <v>0</v>
      </c>
      <c r="C14" s="67">
        <f>$B$14</f>
        <v>0</v>
      </c>
      <c r="D14" s="67">
        <f t="shared" ref="D14:Q14" si="9">$B$14</f>
        <v>0</v>
      </c>
      <c r="E14" s="67">
        <f t="shared" si="9"/>
        <v>0</v>
      </c>
      <c r="F14" s="67">
        <f t="shared" si="9"/>
        <v>0</v>
      </c>
      <c r="G14" s="67">
        <f t="shared" si="9"/>
        <v>0</v>
      </c>
      <c r="H14" s="67">
        <f t="shared" si="9"/>
        <v>0</v>
      </c>
      <c r="I14" s="67">
        <f t="shared" si="9"/>
        <v>0</v>
      </c>
      <c r="J14" s="67">
        <f t="shared" si="9"/>
        <v>0</v>
      </c>
      <c r="K14" s="67">
        <f t="shared" si="9"/>
        <v>0</v>
      </c>
      <c r="L14" s="67">
        <f t="shared" si="9"/>
        <v>0</v>
      </c>
      <c r="M14" s="125">
        <f t="shared" si="9"/>
        <v>0</v>
      </c>
      <c r="N14" s="137">
        <f t="shared" si="9"/>
        <v>0</v>
      </c>
      <c r="O14" s="67">
        <f t="shared" si="9"/>
        <v>0</v>
      </c>
      <c r="P14" s="67">
        <f t="shared" si="9"/>
        <v>0</v>
      </c>
      <c r="Q14" s="67">
        <f t="shared" si="9"/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138">
        <v>0</v>
      </c>
    </row>
    <row r="15" spans="1:25" x14ac:dyDescent="0.3">
      <c r="A15" s="4" t="s">
        <v>54</v>
      </c>
      <c r="B15" s="145">
        <v>1269861.4643999999</v>
      </c>
      <c r="C15" s="76">
        <f>B15+C14</f>
        <v>1269861.4643999999</v>
      </c>
      <c r="D15" s="76">
        <f t="shared" ref="D15:J15" si="10">C15+D14</f>
        <v>1269861.4643999999</v>
      </c>
      <c r="E15" s="76">
        <f t="shared" si="10"/>
        <v>1269861.4643999999</v>
      </c>
      <c r="F15" s="76">
        <f t="shared" si="10"/>
        <v>1269861.4643999999</v>
      </c>
      <c r="G15" s="76">
        <f t="shared" si="10"/>
        <v>1269861.4643999999</v>
      </c>
      <c r="H15" s="76">
        <f t="shared" si="10"/>
        <v>1269861.4643999999</v>
      </c>
      <c r="I15" s="76">
        <f t="shared" si="10"/>
        <v>1269861.4643999999</v>
      </c>
      <c r="J15" s="76">
        <f t="shared" si="10"/>
        <v>1269861.4643999999</v>
      </c>
      <c r="K15" s="76">
        <f>J15+K14</f>
        <v>1269861.4643999999</v>
      </c>
      <c r="L15" s="76">
        <f>K15+L14</f>
        <v>1269861.4643999999</v>
      </c>
      <c r="M15" s="76">
        <f>L15+M14</f>
        <v>1269861.4643999999</v>
      </c>
      <c r="N15" s="143">
        <f t="shared" ref="N15:T15" si="11">$B$15</f>
        <v>1269861.4643999999</v>
      </c>
      <c r="O15" s="76">
        <f t="shared" si="11"/>
        <v>1269861.4643999999</v>
      </c>
      <c r="P15" s="76">
        <f t="shared" si="11"/>
        <v>1269861.4643999999</v>
      </c>
      <c r="Q15" s="76">
        <f t="shared" si="11"/>
        <v>1269861.4643999999</v>
      </c>
      <c r="R15" s="76">
        <f t="shared" si="11"/>
        <v>1269861.4643999999</v>
      </c>
      <c r="S15" s="76">
        <f t="shared" si="11"/>
        <v>1269861.4643999999</v>
      </c>
      <c r="T15" s="76">
        <f t="shared" si="11"/>
        <v>1269861.4643999999</v>
      </c>
      <c r="U15" s="69"/>
      <c r="V15" s="69"/>
      <c r="W15" s="69"/>
      <c r="X15" s="69"/>
      <c r="Y15" s="144"/>
    </row>
    <row r="16" spans="1:25" x14ac:dyDescent="0.3">
      <c r="A16" s="4" t="s">
        <v>55</v>
      </c>
      <c r="B16" s="145">
        <f>B15*5%</f>
        <v>63493.073219999998</v>
      </c>
      <c r="C16" s="69">
        <f>C15*5%</f>
        <v>63493.073219999998</v>
      </c>
      <c r="D16" s="69">
        <f>D15*5%</f>
        <v>63493.073219999998</v>
      </c>
      <c r="E16" s="69">
        <f t="shared" ref="E16:Y16" si="12">E15*5%</f>
        <v>63493.073219999998</v>
      </c>
      <c r="F16" s="69">
        <f t="shared" si="12"/>
        <v>63493.073219999998</v>
      </c>
      <c r="G16" s="69">
        <f t="shared" si="12"/>
        <v>63493.073219999998</v>
      </c>
      <c r="H16" s="69">
        <f t="shared" si="12"/>
        <v>63493.073219999998</v>
      </c>
      <c r="I16" s="69">
        <f t="shared" si="12"/>
        <v>63493.073219999998</v>
      </c>
      <c r="J16" s="69">
        <f t="shared" si="12"/>
        <v>63493.073219999998</v>
      </c>
      <c r="K16" s="69">
        <f t="shared" si="12"/>
        <v>63493.073219999998</v>
      </c>
      <c r="L16" s="69">
        <f t="shared" si="12"/>
        <v>63493.073219999998</v>
      </c>
      <c r="M16" s="129">
        <f t="shared" si="12"/>
        <v>63493.073219999998</v>
      </c>
      <c r="N16" s="145">
        <f t="shared" si="12"/>
        <v>63493.073219999998</v>
      </c>
      <c r="O16" s="69">
        <f t="shared" si="12"/>
        <v>63493.073219999998</v>
      </c>
      <c r="P16" s="69">
        <f t="shared" si="12"/>
        <v>63493.073219999998</v>
      </c>
      <c r="Q16" s="69">
        <f t="shared" si="12"/>
        <v>63493.073219999998</v>
      </c>
      <c r="R16" s="69">
        <f t="shared" si="12"/>
        <v>63493.073219999998</v>
      </c>
      <c r="S16" s="69">
        <f t="shared" si="12"/>
        <v>63493.073219999998</v>
      </c>
      <c r="T16" s="69">
        <f t="shared" si="12"/>
        <v>63493.073219999998</v>
      </c>
      <c r="U16" s="69">
        <f t="shared" si="12"/>
        <v>0</v>
      </c>
      <c r="V16" s="69">
        <f t="shared" si="12"/>
        <v>0</v>
      </c>
      <c r="W16" s="69">
        <f t="shared" si="12"/>
        <v>0</v>
      </c>
      <c r="X16" s="69">
        <f t="shared" si="12"/>
        <v>0</v>
      </c>
      <c r="Y16" s="144">
        <f t="shared" si="12"/>
        <v>0</v>
      </c>
    </row>
    <row r="17" spans="1:26" x14ac:dyDescent="0.3">
      <c r="A17" s="4" t="s">
        <v>287</v>
      </c>
      <c r="B17" s="137">
        <v>0</v>
      </c>
      <c r="C17" s="67">
        <f>$B$17</f>
        <v>0</v>
      </c>
      <c r="D17" s="67">
        <f t="shared" ref="D17:Y17" si="13">$B$17</f>
        <v>0</v>
      </c>
      <c r="E17" s="67">
        <f t="shared" si="13"/>
        <v>0</v>
      </c>
      <c r="F17" s="67">
        <f t="shared" si="13"/>
        <v>0</v>
      </c>
      <c r="G17" s="67">
        <f t="shared" si="13"/>
        <v>0</v>
      </c>
      <c r="H17" s="67">
        <f t="shared" si="13"/>
        <v>0</v>
      </c>
      <c r="I17" s="67">
        <f t="shared" si="13"/>
        <v>0</v>
      </c>
      <c r="J17" s="67">
        <f t="shared" si="13"/>
        <v>0</v>
      </c>
      <c r="K17" s="67">
        <f t="shared" si="13"/>
        <v>0</v>
      </c>
      <c r="L17" s="67">
        <f t="shared" si="13"/>
        <v>0</v>
      </c>
      <c r="M17" s="125">
        <f t="shared" si="13"/>
        <v>0</v>
      </c>
      <c r="N17" s="137">
        <f t="shared" si="13"/>
        <v>0</v>
      </c>
      <c r="O17" s="67">
        <f t="shared" si="13"/>
        <v>0</v>
      </c>
      <c r="P17" s="67">
        <f t="shared" si="13"/>
        <v>0</v>
      </c>
      <c r="Q17" s="67">
        <f t="shared" si="13"/>
        <v>0</v>
      </c>
      <c r="R17" s="67">
        <f t="shared" si="13"/>
        <v>0</v>
      </c>
      <c r="S17" s="67">
        <f t="shared" si="13"/>
        <v>0</v>
      </c>
      <c r="T17" s="67">
        <f t="shared" si="13"/>
        <v>0</v>
      </c>
      <c r="U17" s="67">
        <f t="shared" si="13"/>
        <v>0</v>
      </c>
      <c r="V17" s="67">
        <f t="shared" si="13"/>
        <v>0</v>
      </c>
      <c r="W17" s="67">
        <f t="shared" si="13"/>
        <v>0</v>
      </c>
      <c r="X17" s="67">
        <f t="shared" si="13"/>
        <v>0</v>
      </c>
      <c r="Y17" s="138">
        <f t="shared" si="13"/>
        <v>0</v>
      </c>
    </row>
    <row r="18" spans="1:26" x14ac:dyDescent="0.3">
      <c r="A18" s="4" t="s">
        <v>57</v>
      </c>
      <c r="B18" s="145">
        <v>714333</v>
      </c>
      <c r="C18" s="76">
        <f>$B$18</f>
        <v>714333</v>
      </c>
      <c r="D18" s="76">
        <f t="shared" ref="D18:Y18" si="14">$B$18</f>
        <v>714333</v>
      </c>
      <c r="E18" s="76">
        <f t="shared" si="14"/>
        <v>714333</v>
      </c>
      <c r="F18" s="76">
        <f t="shared" si="14"/>
        <v>714333</v>
      </c>
      <c r="G18" s="76">
        <f t="shared" si="14"/>
        <v>714333</v>
      </c>
      <c r="H18" s="76">
        <f t="shared" si="14"/>
        <v>714333</v>
      </c>
      <c r="I18" s="76">
        <f t="shared" si="14"/>
        <v>714333</v>
      </c>
      <c r="J18" s="76">
        <f t="shared" si="14"/>
        <v>714333</v>
      </c>
      <c r="K18" s="76">
        <f t="shared" si="14"/>
        <v>714333</v>
      </c>
      <c r="L18" s="76">
        <f t="shared" si="14"/>
        <v>714333</v>
      </c>
      <c r="M18" s="128">
        <f t="shared" si="14"/>
        <v>714333</v>
      </c>
      <c r="N18" s="143">
        <f t="shared" si="14"/>
        <v>714333</v>
      </c>
      <c r="O18" s="76">
        <f t="shared" si="14"/>
        <v>714333</v>
      </c>
      <c r="P18" s="76">
        <f t="shared" si="14"/>
        <v>714333</v>
      </c>
      <c r="Q18" s="76">
        <f t="shared" si="14"/>
        <v>714333</v>
      </c>
      <c r="R18" s="76">
        <f t="shared" si="14"/>
        <v>714333</v>
      </c>
      <c r="S18" s="76">
        <f t="shared" si="14"/>
        <v>714333</v>
      </c>
      <c r="T18" s="76">
        <f t="shared" si="14"/>
        <v>714333</v>
      </c>
      <c r="U18" s="76">
        <f t="shared" si="14"/>
        <v>714333</v>
      </c>
      <c r="V18" s="76">
        <f t="shared" si="14"/>
        <v>714333</v>
      </c>
      <c r="W18" s="76">
        <f t="shared" si="14"/>
        <v>714333</v>
      </c>
      <c r="X18" s="76">
        <f t="shared" si="14"/>
        <v>714333</v>
      </c>
      <c r="Y18" s="146">
        <f t="shared" si="14"/>
        <v>714333</v>
      </c>
    </row>
    <row r="19" spans="1:26" x14ac:dyDescent="0.3">
      <c r="A19" s="4" t="s">
        <v>58</v>
      </c>
      <c r="B19" s="147">
        <f>B20/B15</f>
        <v>0.43747170850836314</v>
      </c>
      <c r="C19" s="70">
        <f t="shared" ref="C19:Y19" si="15">C20/C15</f>
        <v>0.43747170850836314</v>
      </c>
      <c r="D19" s="70">
        <f t="shared" si="15"/>
        <v>0.43747170850836314</v>
      </c>
      <c r="E19" s="70">
        <f t="shared" si="15"/>
        <v>0.43747170850836314</v>
      </c>
      <c r="F19" s="70">
        <f t="shared" si="15"/>
        <v>0.43747170850836314</v>
      </c>
      <c r="G19" s="70">
        <f t="shared" si="15"/>
        <v>0.43747170850836314</v>
      </c>
      <c r="H19" s="70">
        <f t="shared" si="15"/>
        <v>0.43747170850836314</v>
      </c>
      <c r="I19" s="70">
        <f t="shared" si="15"/>
        <v>0.43747170850836314</v>
      </c>
      <c r="J19" s="70">
        <f t="shared" si="15"/>
        <v>0.43747170850836314</v>
      </c>
      <c r="K19" s="70">
        <f t="shared" si="15"/>
        <v>0.43747170850836314</v>
      </c>
      <c r="L19" s="70">
        <f t="shared" si="15"/>
        <v>0.43747170850836314</v>
      </c>
      <c r="M19" s="130">
        <f t="shared" si="15"/>
        <v>0.43747170850836314</v>
      </c>
      <c r="N19" s="147">
        <f t="shared" si="15"/>
        <v>0.43747170850836314</v>
      </c>
      <c r="O19" s="70">
        <f t="shared" si="15"/>
        <v>0.43747170850836314</v>
      </c>
      <c r="P19" s="70">
        <f t="shared" si="15"/>
        <v>0.43747170850836314</v>
      </c>
      <c r="Q19" s="70">
        <f t="shared" si="15"/>
        <v>0.43747170850836314</v>
      </c>
      <c r="R19" s="70">
        <f t="shared" si="15"/>
        <v>0.43747170850836314</v>
      </c>
      <c r="S19" s="70">
        <f t="shared" si="15"/>
        <v>0.43747170850836314</v>
      </c>
      <c r="T19" s="70">
        <f t="shared" si="15"/>
        <v>0.43747170850836314</v>
      </c>
      <c r="U19" s="70" t="e">
        <f t="shared" si="15"/>
        <v>#DIV/0!</v>
      </c>
      <c r="V19" s="70" t="e">
        <f t="shared" si="15"/>
        <v>#DIV/0!</v>
      </c>
      <c r="W19" s="70" t="e">
        <f t="shared" si="15"/>
        <v>#DIV/0!</v>
      </c>
      <c r="X19" s="70" t="e">
        <f t="shared" si="15"/>
        <v>#DIV/0!</v>
      </c>
      <c r="Y19" s="148" t="e">
        <f t="shared" si="15"/>
        <v>#DIV/0!</v>
      </c>
    </row>
    <row r="20" spans="1:26" x14ac:dyDescent="0.3">
      <c r="A20" s="4" t="s">
        <v>59</v>
      </c>
      <c r="B20" s="149">
        <f>B15-B18</f>
        <v>555528.46439999994</v>
      </c>
      <c r="C20" s="71">
        <f t="shared" ref="C20:Y20" si="16">C15-C18</f>
        <v>555528.46439999994</v>
      </c>
      <c r="D20" s="71">
        <f t="shared" si="16"/>
        <v>555528.46439999994</v>
      </c>
      <c r="E20" s="71">
        <f t="shared" si="16"/>
        <v>555528.46439999994</v>
      </c>
      <c r="F20" s="71">
        <f t="shared" si="16"/>
        <v>555528.46439999994</v>
      </c>
      <c r="G20" s="71">
        <f t="shared" si="16"/>
        <v>555528.46439999994</v>
      </c>
      <c r="H20" s="71">
        <f t="shared" si="16"/>
        <v>555528.46439999994</v>
      </c>
      <c r="I20" s="71">
        <f t="shared" si="16"/>
        <v>555528.46439999994</v>
      </c>
      <c r="J20" s="71">
        <f t="shared" si="16"/>
        <v>555528.46439999994</v>
      </c>
      <c r="K20" s="71">
        <f t="shared" si="16"/>
        <v>555528.46439999994</v>
      </c>
      <c r="L20" s="71">
        <f t="shared" si="16"/>
        <v>555528.46439999994</v>
      </c>
      <c r="M20" s="131">
        <f t="shared" si="16"/>
        <v>555528.46439999994</v>
      </c>
      <c r="N20" s="149">
        <f t="shared" si="16"/>
        <v>555528.46439999994</v>
      </c>
      <c r="O20" s="71">
        <f t="shared" si="16"/>
        <v>555528.46439999994</v>
      </c>
      <c r="P20" s="71">
        <f t="shared" si="16"/>
        <v>555528.46439999994</v>
      </c>
      <c r="Q20" s="71">
        <f t="shared" si="16"/>
        <v>555528.46439999994</v>
      </c>
      <c r="R20" s="71">
        <f t="shared" si="16"/>
        <v>555528.46439999994</v>
      </c>
      <c r="S20" s="71">
        <f t="shared" si="16"/>
        <v>555528.46439999994</v>
      </c>
      <c r="T20" s="71">
        <f t="shared" si="16"/>
        <v>555528.46439999994</v>
      </c>
      <c r="U20" s="71">
        <f t="shared" si="16"/>
        <v>-714333</v>
      </c>
      <c r="V20" s="71">
        <f t="shared" si="16"/>
        <v>-714333</v>
      </c>
      <c r="W20" s="71">
        <f t="shared" si="16"/>
        <v>-714333</v>
      </c>
      <c r="X20" s="71">
        <f t="shared" si="16"/>
        <v>-714333</v>
      </c>
      <c r="Y20" s="150">
        <f t="shared" si="16"/>
        <v>-714333</v>
      </c>
    </row>
    <row r="21" spans="1:26" x14ac:dyDescent="0.3">
      <c r="A21" s="4" t="s">
        <v>60</v>
      </c>
      <c r="B21" s="137">
        <v>1717</v>
      </c>
      <c r="C21" s="76">
        <f>$B$21</f>
        <v>1717</v>
      </c>
      <c r="D21" s="76">
        <f t="shared" ref="D21:Y21" si="17">$B$21</f>
        <v>1717</v>
      </c>
      <c r="E21" s="76">
        <f t="shared" si="17"/>
        <v>1717</v>
      </c>
      <c r="F21" s="76">
        <f t="shared" si="17"/>
        <v>1717</v>
      </c>
      <c r="G21" s="76">
        <f t="shared" si="17"/>
        <v>1717</v>
      </c>
      <c r="H21" s="76">
        <f t="shared" si="17"/>
        <v>1717</v>
      </c>
      <c r="I21" s="76">
        <f t="shared" si="17"/>
        <v>1717</v>
      </c>
      <c r="J21" s="76">
        <f t="shared" si="17"/>
        <v>1717</v>
      </c>
      <c r="K21" s="76">
        <f t="shared" si="17"/>
        <v>1717</v>
      </c>
      <c r="L21" s="76">
        <f t="shared" si="17"/>
        <v>1717</v>
      </c>
      <c r="M21" s="128">
        <f t="shared" si="17"/>
        <v>1717</v>
      </c>
      <c r="N21" s="143">
        <f t="shared" si="17"/>
        <v>1717</v>
      </c>
      <c r="O21" s="76">
        <f t="shared" si="17"/>
        <v>1717</v>
      </c>
      <c r="P21" s="76">
        <f t="shared" si="17"/>
        <v>1717</v>
      </c>
      <c r="Q21" s="76">
        <f t="shared" si="17"/>
        <v>1717</v>
      </c>
      <c r="R21" s="76">
        <f t="shared" si="17"/>
        <v>1717</v>
      </c>
      <c r="S21" s="76">
        <f t="shared" si="17"/>
        <v>1717</v>
      </c>
      <c r="T21" s="76">
        <f t="shared" si="17"/>
        <v>1717</v>
      </c>
      <c r="U21" s="76">
        <f t="shared" si="17"/>
        <v>1717</v>
      </c>
      <c r="V21" s="76">
        <f t="shared" si="17"/>
        <v>1717</v>
      </c>
      <c r="W21" s="76">
        <f t="shared" si="17"/>
        <v>1717</v>
      </c>
      <c r="X21" s="76">
        <f t="shared" si="17"/>
        <v>1717</v>
      </c>
      <c r="Y21" s="146">
        <f t="shared" si="17"/>
        <v>1717</v>
      </c>
    </row>
    <row r="22" spans="1:26" x14ac:dyDescent="0.3">
      <c r="A22" s="4" t="s">
        <v>61</v>
      </c>
      <c r="B22" s="137">
        <v>1717</v>
      </c>
      <c r="C22" s="76">
        <f>$B$22</f>
        <v>1717</v>
      </c>
      <c r="D22" s="76">
        <f t="shared" ref="D22:Y22" si="18">$B$22</f>
        <v>1717</v>
      </c>
      <c r="E22" s="76">
        <f t="shared" si="18"/>
        <v>1717</v>
      </c>
      <c r="F22" s="76">
        <f t="shared" si="18"/>
        <v>1717</v>
      </c>
      <c r="G22" s="76">
        <f t="shared" si="18"/>
        <v>1717</v>
      </c>
      <c r="H22" s="76">
        <f t="shared" si="18"/>
        <v>1717</v>
      </c>
      <c r="I22" s="76">
        <f t="shared" si="18"/>
        <v>1717</v>
      </c>
      <c r="J22" s="76">
        <f t="shared" si="18"/>
        <v>1717</v>
      </c>
      <c r="K22" s="76">
        <f t="shared" si="18"/>
        <v>1717</v>
      </c>
      <c r="L22" s="76">
        <f t="shared" si="18"/>
        <v>1717</v>
      </c>
      <c r="M22" s="128">
        <f t="shared" si="18"/>
        <v>1717</v>
      </c>
      <c r="N22" s="143">
        <f t="shared" si="18"/>
        <v>1717</v>
      </c>
      <c r="O22" s="76">
        <f t="shared" si="18"/>
        <v>1717</v>
      </c>
      <c r="P22" s="76">
        <f t="shared" si="18"/>
        <v>1717</v>
      </c>
      <c r="Q22" s="76">
        <f t="shared" si="18"/>
        <v>1717</v>
      </c>
      <c r="R22" s="76">
        <f t="shared" si="18"/>
        <v>1717</v>
      </c>
      <c r="S22" s="76">
        <f t="shared" si="18"/>
        <v>1717</v>
      </c>
      <c r="T22" s="76">
        <f t="shared" si="18"/>
        <v>1717</v>
      </c>
      <c r="U22" s="76">
        <f t="shared" si="18"/>
        <v>1717</v>
      </c>
      <c r="V22" s="76">
        <f t="shared" si="18"/>
        <v>1717</v>
      </c>
      <c r="W22" s="76">
        <f t="shared" si="18"/>
        <v>1717</v>
      </c>
      <c r="X22" s="76">
        <f t="shared" si="18"/>
        <v>1717</v>
      </c>
      <c r="Y22" s="146">
        <f t="shared" si="18"/>
        <v>1717</v>
      </c>
    </row>
    <row r="23" spans="1:26" x14ac:dyDescent="0.3">
      <c r="A23" s="4" t="s">
        <v>62</v>
      </c>
      <c r="B23" s="137">
        <v>0</v>
      </c>
      <c r="C23" s="76">
        <f>$B$23</f>
        <v>0</v>
      </c>
      <c r="D23" s="76">
        <f t="shared" ref="D23:Y23" si="19">$B$23</f>
        <v>0</v>
      </c>
      <c r="E23" s="76">
        <f t="shared" si="19"/>
        <v>0</v>
      </c>
      <c r="F23" s="76">
        <f t="shared" si="19"/>
        <v>0</v>
      </c>
      <c r="G23" s="76">
        <f t="shared" si="19"/>
        <v>0</v>
      </c>
      <c r="H23" s="76">
        <f t="shared" si="19"/>
        <v>0</v>
      </c>
      <c r="I23" s="76">
        <f t="shared" si="19"/>
        <v>0</v>
      </c>
      <c r="J23" s="76">
        <f t="shared" si="19"/>
        <v>0</v>
      </c>
      <c r="K23" s="76">
        <f t="shared" si="19"/>
        <v>0</v>
      </c>
      <c r="L23" s="76">
        <f t="shared" si="19"/>
        <v>0</v>
      </c>
      <c r="M23" s="128">
        <f t="shared" si="19"/>
        <v>0</v>
      </c>
      <c r="N23" s="143">
        <f t="shared" si="19"/>
        <v>0</v>
      </c>
      <c r="O23" s="76">
        <f t="shared" si="19"/>
        <v>0</v>
      </c>
      <c r="P23" s="76">
        <f t="shared" si="19"/>
        <v>0</v>
      </c>
      <c r="Q23" s="76">
        <f t="shared" si="19"/>
        <v>0</v>
      </c>
      <c r="R23" s="76">
        <f t="shared" si="19"/>
        <v>0</v>
      </c>
      <c r="S23" s="76">
        <f t="shared" si="19"/>
        <v>0</v>
      </c>
      <c r="T23" s="76">
        <f t="shared" si="19"/>
        <v>0</v>
      </c>
      <c r="U23" s="76">
        <f t="shared" si="19"/>
        <v>0</v>
      </c>
      <c r="V23" s="76">
        <f t="shared" si="19"/>
        <v>0</v>
      </c>
      <c r="W23" s="76">
        <f t="shared" si="19"/>
        <v>0</v>
      </c>
      <c r="X23" s="76">
        <f t="shared" si="19"/>
        <v>0</v>
      </c>
      <c r="Y23" s="146">
        <f t="shared" si="19"/>
        <v>0</v>
      </c>
    </row>
    <row r="24" spans="1:26" x14ac:dyDescent="0.3">
      <c r="A24" s="4" t="s">
        <v>63</v>
      </c>
      <c r="B24" s="137">
        <v>75</v>
      </c>
      <c r="C24" s="76">
        <f>$B$24</f>
        <v>75</v>
      </c>
      <c r="D24" s="76">
        <f t="shared" ref="D24:Y24" si="20">$B$24</f>
        <v>75</v>
      </c>
      <c r="E24" s="76">
        <f t="shared" si="20"/>
        <v>75</v>
      </c>
      <c r="F24" s="76">
        <f t="shared" si="20"/>
        <v>75</v>
      </c>
      <c r="G24" s="76">
        <f t="shared" si="20"/>
        <v>75</v>
      </c>
      <c r="H24" s="76">
        <f t="shared" si="20"/>
        <v>75</v>
      </c>
      <c r="I24" s="76">
        <f t="shared" si="20"/>
        <v>75</v>
      </c>
      <c r="J24" s="76">
        <f t="shared" si="20"/>
        <v>75</v>
      </c>
      <c r="K24" s="76">
        <f t="shared" si="20"/>
        <v>75</v>
      </c>
      <c r="L24" s="76">
        <f t="shared" si="20"/>
        <v>75</v>
      </c>
      <c r="M24" s="128">
        <f t="shared" si="20"/>
        <v>75</v>
      </c>
      <c r="N24" s="143">
        <f t="shared" si="20"/>
        <v>75</v>
      </c>
      <c r="O24" s="76">
        <f t="shared" si="20"/>
        <v>75</v>
      </c>
      <c r="P24" s="76">
        <f t="shared" si="20"/>
        <v>75</v>
      </c>
      <c r="Q24" s="76">
        <f t="shared" si="20"/>
        <v>75</v>
      </c>
      <c r="R24" s="76">
        <f t="shared" si="20"/>
        <v>75</v>
      </c>
      <c r="S24" s="76">
        <f t="shared" si="20"/>
        <v>75</v>
      </c>
      <c r="T24" s="76">
        <f t="shared" si="20"/>
        <v>75</v>
      </c>
      <c r="U24" s="76">
        <f t="shared" si="20"/>
        <v>75</v>
      </c>
      <c r="V24" s="76">
        <f t="shared" si="20"/>
        <v>75</v>
      </c>
      <c r="W24" s="76">
        <f t="shared" si="20"/>
        <v>75</v>
      </c>
      <c r="X24" s="76">
        <f t="shared" si="20"/>
        <v>75</v>
      </c>
      <c r="Y24" s="146">
        <f t="shared" si="20"/>
        <v>75</v>
      </c>
    </row>
    <row r="25" spans="1:26" x14ac:dyDescent="0.3">
      <c r="A25" s="4" t="s">
        <v>288</v>
      </c>
      <c r="B25" s="137">
        <f>SUM(B22:B24)</f>
        <v>1792</v>
      </c>
      <c r="C25" s="76">
        <f>SUM(C22:C24)</f>
        <v>1792</v>
      </c>
      <c r="D25" s="67">
        <f>SUM(D22:D24)</f>
        <v>1792</v>
      </c>
      <c r="E25" s="67">
        <f>SUM(E22:E24)</f>
        <v>1792</v>
      </c>
      <c r="F25" s="67">
        <f t="shared" ref="F25:Y25" si="21">SUM(F22:F24)</f>
        <v>1792</v>
      </c>
      <c r="G25" s="67">
        <f t="shared" si="21"/>
        <v>1792</v>
      </c>
      <c r="H25" s="67">
        <f t="shared" si="21"/>
        <v>1792</v>
      </c>
      <c r="I25" s="67">
        <f t="shared" si="21"/>
        <v>1792</v>
      </c>
      <c r="J25" s="67">
        <f t="shared" si="21"/>
        <v>1792</v>
      </c>
      <c r="K25" s="67">
        <f t="shared" si="21"/>
        <v>1792</v>
      </c>
      <c r="L25" s="67">
        <f t="shared" si="21"/>
        <v>1792</v>
      </c>
      <c r="M25" s="125">
        <f t="shared" si="21"/>
        <v>1792</v>
      </c>
      <c r="N25" s="137">
        <f t="shared" si="21"/>
        <v>1792</v>
      </c>
      <c r="O25" s="67">
        <f t="shared" si="21"/>
        <v>1792</v>
      </c>
      <c r="P25" s="67">
        <f t="shared" si="21"/>
        <v>1792</v>
      </c>
      <c r="Q25" s="67">
        <f t="shared" si="21"/>
        <v>1792</v>
      </c>
      <c r="R25" s="67">
        <f t="shared" si="21"/>
        <v>1792</v>
      </c>
      <c r="S25" s="67">
        <f t="shared" si="21"/>
        <v>1792</v>
      </c>
      <c r="T25" s="67">
        <f t="shared" si="21"/>
        <v>1792</v>
      </c>
      <c r="U25" s="67">
        <f t="shared" si="21"/>
        <v>1792</v>
      </c>
      <c r="V25" s="67">
        <f t="shared" si="21"/>
        <v>1792</v>
      </c>
      <c r="W25" s="67">
        <f t="shared" si="21"/>
        <v>1792</v>
      </c>
      <c r="X25" s="67">
        <f t="shared" si="21"/>
        <v>1792</v>
      </c>
      <c r="Y25" s="138">
        <f t="shared" si="21"/>
        <v>1792</v>
      </c>
    </row>
    <row r="26" spans="1:26" s="74" customFormat="1" x14ac:dyDescent="0.3">
      <c r="A26" s="4" t="s">
        <v>232</v>
      </c>
      <c r="B26" s="151">
        <v>45323</v>
      </c>
      <c r="C26" s="123">
        <v>45323</v>
      </c>
      <c r="D26" s="123">
        <v>45323</v>
      </c>
      <c r="E26" s="123">
        <v>45323</v>
      </c>
      <c r="F26" s="123">
        <v>45323</v>
      </c>
      <c r="G26" s="123">
        <v>45323</v>
      </c>
      <c r="H26" s="123">
        <v>45323</v>
      </c>
      <c r="I26" s="123">
        <v>45323</v>
      </c>
      <c r="J26" s="123">
        <v>45323</v>
      </c>
      <c r="K26" s="123">
        <v>45323</v>
      </c>
      <c r="L26" s="123">
        <v>45323</v>
      </c>
      <c r="M26" s="132">
        <v>45323</v>
      </c>
      <c r="N26" s="151">
        <v>45323</v>
      </c>
      <c r="O26" s="123">
        <v>45689</v>
      </c>
      <c r="P26" s="123">
        <v>45689</v>
      </c>
      <c r="Q26" s="123">
        <v>45689</v>
      </c>
      <c r="R26" s="123">
        <v>45689</v>
      </c>
      <c r="S26" s="123">
        <v>45689</v>
      </c>
      <c r="T26" s="123">
        <v>45689</v>
      </c>
      <c r="U26" s="123">
        <v>45689</v>
      </c>
      <c r="V26" s="123">
        <v>45689</v>
      </c>
      <c r="W26" s="123">
        <v>45689</v>
      </c>
      <c r="X26" s="123">
        <v>45689</v>
      </c>
      <c r="Y26" s="152">
        <v>45689</v>
      </c>
      <c r="Z26"/>
    </row>
    <row r="27" spans="1:26" s="74" customFormat="1" x14ac:dyDescent="0.3">
      <c r="A27" s="160" t="s">
        <v>289</v>
      </c>
      <c r="B27" s="124">
        <v>46054</v>
      </c>
      <c r="C27" s="123">
        <v>46054</v>
      </c>
      <c r="D27" s="123">
        <v>46054</v>
      </c>
      <c r="E27" s="123">
        <v>46054</v>
      </c>
      <c r="F27" s="123">
        <v>46054</v>
      </c>
      <c r="G27" s="123">
        <v>46054</v>
      </c>
      <c r="H27" s="123">
        <v>46054</v>
      </c>
      <c r="I27" s="123">
        <v>46054</v>
      </c>
      <c r="J27" s="123">
        <v>46054</v>
      </c>
      <c r="K27" s="123">
        <v>46054</v>
      </c>
      <c r="L27" s="123">
        <v>46054</v>
      </c>
      <c r="M27" s="132">
        <v>46054</v>
      </c>
      <c r="N27" s="151">
        <v>46054</v>
      </c>
      <c r="O27" s="123">
        <v>46054</v>
      </c>
      <c r="P27" s="123">
        <v>46054</v>
      </c>
      <c r="Q27" s="123">
        <v>46054</v>
      </c>
      <c r="R27" s="123">
        <v>46054</v>
      </c>
      <c r="S27" s="123">
        <v>46054</v>
      </c>
      <c r="T27" s="123">
        <v>46054</v>
      </c>
      <c r="U27" s="123">
        <v>46054</v>
      </c>
      <c r="V27" s="123">
        <v>46054</v>
      </c>
      <c r="W27" s="123">
        <v>46054</v>
      </c>
      <c r="X27" s="123">
        <v>46054</v>
      </c>
      <c r="Y27" s="152">
        <v>46054</v>
      </c>
    </row>
    <row r="28" spans="1:26" s="74" customFormat="1" x14ac:dyDescent="0.3">
      <c r="A28" s="4" t="s">
        <v>290</v>
      </c>
      <c r="B28" s="153">
        <v>365</v>
      </c>
      <c r="C28" s="75">
        <f>$B$28</f>
        <v>365</v>
      </c>
      <c r="D28" s="75">
        <f t="shared" ref="D28:Y28" si="22">$B$28</f>
        <v>365</v>
      </c>
      <c r="E28" s="75">
        <f t="shared" si="22"/>
        <v>365</v>
      </c>
      <c r="F28" s="75">
        <f t="shared" si="22"/>
        <v>365</v>
      </c>
      <c r="G28" s="75">
        <f t="shared" si="22"/>
        <v>365</v>
      </c>
      <c r="H28" s="75">
        <f t="shared" si="22"/>
        <v>365</v>
      </c>
      <c r="I28" s="75">
        <f t="shared" si="22"/>
        <v>365</v>
      </c>
      <c r="J28" s="75">
        <f t="shared" si="22"/>
        <v>365</v>
      </c>
      <c r="K28" s="75">
        <f t="shared" si="22"/>
        <v>365</v>
      </c>
      <c r="L28" s="75">
        <f t="shared" si="22"/>
        <v>365</v>
      </c>
      <c r="M28" s="133">
        <f t="shared" si="22"/>
        <v>365</v>
      </c>
      <c r="N28" s="153">
        <f t="shared" si="22"/>
        <v>365</v>
      </c>
      <c r="O28" s="75">
        <f t="shared" si="22"/>
        <v>365</v>
      </c>
      <c r="P28" s="75">
        <f t="shared" si="22"/>
        <v>365</v>
      </c>
      <c r="Q28" s="75">
        <f t="shared" si="22"/>
        <v>365</v>
      </c>
      <c r="R28" s="75">
        <f t="shared" si="22"/>
        <v>365</v>
      </c>
      <c r="S28" s="75">
        <f t="shared" si="22"/>
        <v>365</v>
      </c>
      <c r="T28" s="75">
        <f t="shared" si="22"/>
        <v>365</v>
      </c>
      <c r="U28" s="75">
        <f t="shared" si="22"/>
        <v>365</v>
      </c>
      <c r="V28" s="75">
        <f t="shared" si="22"/>
        <v>365</v>
      </c>
      <c r="W28" s="75">
        <f t="shared" si="22"/>
        <v>365</v>
      </c>
      <c r="X28" s="75">
        <f t="shared" si="22"/>
        <v>365</v>
      </c>
      <c r="Y28" s="154">
        <f t="shared" si="22"/>
        <v>365</v>
      </c>
    </row>
    <row r="29" spans="1:26" s="73" customFormat="1" ht="15" thickBot="1" x14ac:dyDescent="0.35">
      <c r="A29" s="4" t="s">
        <v>291</v>
      </c>
      <c r="B29" s="155">
        <f>(B4-B26+30)/B28</f>
        <v>8.2191780821917804E-2</v>
      </c>
      <c r="C29" s="156">
        <f>(C4-C26+30)/C28</f>
        <v>0.16164383561643836</v>
      </c>
      <c r="D29" s="156">
        <f t="shared" ref="D29:M29" si="23">(D4-D26+30)/D28</f>
        <v>0.24657534246575341</v>
      </c>
      <c r="E29" s="156">
        <f t="shared" si="23"/>
        <v>0.32876712328767121</v>
      </c>
      <c r="F29" s="156">
        <f t="shared" si="23"/>
        <v>0.41369863013698632</v>
      </c>
      <c r="G29" s="156">
        <f t="shared" si="23"/>
        <v>0.49589041095890413</v>
      </c>
      <c r="H29" s="156">
        <f t="shared" si="23"/>
        <v>0.58082191780821912</v>
      </c>
      <c r="I29" s="156">
        <f t="shared" si="23"/>
        <v>0.66575342465753429</v>
      </c>
      <c r="J29" s="156">
        <f t="shared" si="23"/>
        <v>0.74794520547945209</v>
      </c>
      <c r="K29" s="156">
        <f>(K4-K26+30)/K28</f>
        <v>0.83287671232876714</v>
      </c>
      <c r="L29" s="156">
        <f t="shared" si="23"/>
        <v>0.91506849315068495</v>
      </c>
      <c r="M29" s="159">
        <f t="shared" si="23"/>
        <v>1</v>
      </c>
      <c r="N29" s="161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3"/>
    </row>
    <row r="32" spans="1:26" x14ac:dyDescent="0.3">
      <c r="B32" s="122"/>
    </row>
    <row r="33" spans="2:2" x14ac:dyDescent="0.3">
      <c r="B33" s="121"/>
    </row>
  </sheetData>
  <mergeCells count="1">
    <mergeCell ref="N3:Y3"/>
  </mergeCells>
  <dataValidations count="1">
    <dataValidation type="list" allowBlank="1" showInputMessage="1" showErrorMessage="1" sqref="B8:Y8" xr:uid="{5AB46629-D750-3149-B209-5AEBAA1F2B93}">
      <formula1>"Oui,Non"</formula1>
    </dataValidation>
  </dataValidations>
  <hyperlinks>
    <hyperlink ref="C2" location="Dashboard!A1" display="Tableau de bord" xr:uid="{6578BA7C-AD38-294D-8C02-11C705B8EB12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4C38-37F7-4DAF-BE1E-7A73EF5E29C3}">
  <sheetPr>
    <tabColor rgb="FF0432FF"/>
  </sheetPr>
  <dimension ref="A1:Z35"/>
  <sheetViews>
    <sheetView showGridLines="0" zoomScale="130" zoomScaleNormal="130" workbookViewId="0">
      <pane xSplit="1" topLeftCell="E1" activePane="topRight" state="frozen"/>
      <selection activeCell="D11" sqref="D11"/>
      <selection pane="topRight" activeCell="B14" sqref="B14:N14"/>
    </sheetView>
  </sheetViews>
  <sheetFormatPr defaultColWidth="11.44140625" defaultRowHeight="14.4" x14ac:dyDescent="0.3"/>
  <cols>
    <col min="1" max="1" width="41.6640625" bestFit="1" customWidth="1"/>
    <col min="2" max="3" width="16.109375" bestFit="1" customWidth="1"/>
    <col min="4" max="4" width="17.109375" bestFit="1" customWidth="1"/>
    <col min="5" max="6" width="16.109375" bestFit="1" customWidth="1"/>
    <col min="7" max="10" width="15.6640625" bestFit="1" customWidth="1"/>
    <col min="11" max="11" width="16.33203125" bestFit="1" customWidth="1"/>
    <col min="12" max="13" width="15.6640625" bestFit="1" customWidth="1"/>
    <col min="14" max="21" width="16.33203125" bestFit="1" customWidth="1"/>
    <col min="22" max="26" width="16.109375" bestFit="1" customWidth="1"/>
  </cols>
  <sheetData>
    <row r="1" spans="1:26" ht="15" thickBot="1" x14ac:dyDescent="0.35"/>
    <row r="2" spans="1:26" ht="29.4" thickBot="1" x14ac:dyDescent="0.35">
      <c r="A2" s="31" t="s">
        <v>4</v>
      </c>
      <c r="C2" s="175" t="s">
        <v>251</v>
      </c>
      <c r="D2" s="176">
        <f>'Fiche identification'!B26</f>
        <v>1269861.4643999999</v>
      </c>
    </row>
    <row r="3" spans="1:26" ht="28.8" x14ac:dyDescent="0.3">
      <c r="C3" s="175" t="s">
        <v>252</v>
      </c>
      <c r="D3" s="177">
        <f>'Fiche identification'!B22</f>
        <v>248992444</v>
      </c>
    </row>
    <row r="4" spans="1:26" x14ac:dyDescent="0.3">
      <c r="A4" s="24" t="s">
        <v>213</v>
      </c>
    </row>
    <row r="6" spans="1:26" ht="27.45" customHeight="1" x14ac:dyDescent="0.3">
      <c r="A6" s="22"/>
      <c r="B6" s="23">
        <v>45323</v>
      </c>
      <c r="C6" s="23">
        <v>45352</v>
      </c>
      <c r="D6" s="23">
        <v>45383</v>
      </c>
      <c r="E6" s="23">
        <v>45413</v>
      </c>
      <c r="F6" s="23">
        <v>45444</v>
      </c>
      <c r="G6" s="23">
        <v>45474</v>
      </c>
      <c r="H6" s="23">
        <v>45505</v>
      </c>
      <c r="I6" s="23">
        <v>45536</v>
      </c>
      <c r="J6" s="23">
        <v>45566</v>
      </c>
      <c r="K6" s="23">
        <v>45597</v>
      </c>
      <c r="L6" s="23">
        <v>45627</v>
      </c>
      <c r="M6" s="23">
        <v>45658</v>
      </c>
      <c r="N6" s="23">
        <v>45689</v>
      </c>
      <c r="O6" s="23">
        <v>45717</v>
      </c>
      <c r="P6" s="23">
        <v>45748</v>
      </c>
      <c r="Q6" s="23">
        <v>45778</v>
      </c>
      <c r="R6" s="23">
        <v>45809</v>
      </c>
      <c r="S6" s="23">
        <v>45839</v>
      </c>
      <c r="T6" s="23">
        <v>45870</v>
      </c>
      <c r="U6" s="23">
        <v>45901</v>
      </c>
      <c r="V6" s="23">
        <v>45931</v>
      </c>
      <c r="W6" s="23">
        <v>45962</v>
      </c>
      <c r="X6" s="23">
        <v>45992</v>
      </c>
      <c r="Y6" s="23">
        <v>46023</v>
      </c>
      <c r="Z6" s="23">
        <v>46054</v>
      </c>
    </row>
    <row r="7" spans="1:26" x14ac:dyDescent="0.3">
      <c r="A7" s="16" t="s">
        <v>292</v>
      </c>
      <c r="B7" s="5" t="s">
        <v>293</v>
      </c>
      <c r="C7" s="5" t="s">
        <v>294</v>
      </c>
      <c r="D7" s="5" t="s">
        <v>295</v>
      </c>
      <c r="E7" s="5" t="s">
        <v>296</v>
      </c>
      <c r="F7" s="5" t="s">
        <v>297</v>
      </c>
      <c r="G7" s="5" t="s">
        <v>298</v>
      </c>
      <c r="H7" s="5" t="s">
        <v>299</v>
      </c>
      <c r="I7" s="5" t="s">
        <v>300</v>
      </c>
      <c r="J7" s="5" t="s">
        <v>301</v>
      </c>
      <c r="K7" s="5" t="s">
        <v>302</v>
      </c>
      <c r="L7" s="5" t="s">
        <v>240</v>
      </c>
      <c r="M7" s="5" t="s">
        <v>303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3">
      <c r="A8" s="16" t="s">
        <v>304</v>
      </c>
      <c r="B8" s="25">
        <f>2/12</f>
        <v>0.16666666666666666</v>
      </c>
      <c r="C8" s="25">
        <f>3/12</f>
        <v>0.25</v>
      </c>
      <c r="D8" s="25">
        <f>4/12</f>
        <v>0.33333333333333331</v>
      </c>
      <c r="E8" s="25">
        <f>4.5/12</f>
        <v>0.375</v>
      </c>
      <c r="F8" s="25">
        <f>5/12</f>
        <v>0.41666666666666669</v>
      </c>
      <c r="G8" s="25">
        <f>6.5/12</f>
        <v>0.54166666666666663</v>
      </c>
      <c r="H8" s="25">
        <f>7/12</f>
        <v>0.58333333333333337</v>
      </c>
      <c r="I8" s="25">
        <f>8.5/12</f>
        <v>0.70833333333333337</v>
      </c>
      <c r="J8" s="25">
        <f>9.2/12</f>
        <v>0.76666666666666661</v>
      </c>
      <c r="K8" s="25">
        <f>10/12</f>
        <v>0.83333333333333337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3">
      <c r="A9" s="16" t="s">
        <v>305</v>
      </c>
      <c r="B9" s="25">
        <f>1/12</f>
        <v>8.3333333333333329E-2</v>
      </c>
      <c r="C9" s="25">
        <f>2/12</f>
        <v>0.16666666666666666</v>
      </c>
      <c r="D9" s="25">
        <f>3/12</f>
        <v>0.25</v>
      </c>
      <c r="E9" s="25">
        <f>4/12</f>
        <v>0.33333333333333331</v>
      </c>
      <c r="F9" s="25">
        <f>5/12</f>
        <v>0.41666666666666669</v>
      </c>
      <c r="G9" s="25">
        <f>6/12</f>
        <v>0.5</v>
      </c>
      <c r="H9" s="25">
        <f>7/12</f>
        <v>0.58333333333333337</v>
      </c>
      <c r="I9" s="25">
        <f>8/12</f>
        <v>0.66666666666666663</v>
      </c>
      <c r="J9" s="25">
        <f>9/12</f>
        <v>0.75</v>
      </c>
      <c r="K9" s="25">
        <f>9.5/12</f>
        <v>0.79166666666666663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s="64" customFormat="1" x14ac:dyDescent="0.3">
      <c r="A10" s="62" t="s">
        <v>211</v>
      </c>
      <c r="B10" s="63" t="s">
        <v>96</v>
      </c>
      <c r="C10" s="63" t="s">
        <v>96</v>
      </c>
      <c r="D10" s="63" t="s">
        <v>96</v>
      </c>
      <c r="E10" s="63" t="s">
        <v>96</v>
      </c>
      <c r="F10" s="63" t="s">
        <v>96</v>
      </c>
      <c r="G10" s="63" t="s">
        <v>96</v>
      </c>
      <c r="H10" s="63" t="s">
        <v>96</v>
      </c>
      <c r="I10" s="63" t="s">
        <v>96</v>
      </c>
      <c r="J10" s="63" t="s">
        <v>96</v>
      </c>
      <c r="K10" s="63" t="s">
        <v>96</v>
      </c>
      <c r="L10" s="63" t="s">
        <v>96</v>
      </c>
      <c r="M10" s="63" t="s">
        <v>96</v>
      </c>
      <c r="N10" s="63" t="s">
        <v>96</v>
      </c>
      <c r="O10" s="63" t="s">
        <v>96</v>
      </c>
      <c r="P10" s="63" t="s">
        <v>96</v>
      </c>
      <c r="Q10" s="63" t="s">
        <v>96</v>
      </c>
      <c r="R10" s="63" t="s">
        <v>96</v>
      </c>
      <c r="S10" s="63" t="s">
        <v>96</v>
      </c>
      <c r="T10" s="63" t="s">
        <v>96</v>
      </c>
      <c r="U10" s="63" t="s">
        <v>96</v>
      </c>
      <c r="V10" s="63" t="s">
        <v>96</v>
      </c>
      <c r="W10" s="63" t="s">
        <v>96</v>
      </c>
      <c r="X10" s="63" t="s">
        <v>96</v>
      </c>
      <c r="Y10" s="63" t="s">
        <v>96</v>
      </c>
      <c r="Z10" s="63" t="s">
        <v>96</v>
      </c>
    </row>
    <row r="11" spans="1:26" x14ac:dyDescent="0.3">
      <c r="A11" s="16" t="s">
        <v>306</v>
      </c>
      <c r="B11" s="178">
        <v>118</v>
      </c>
      <c r="C11" s="178">
        <v>235</v>
      </c>
      <c r="D11" s="178">
        <v>430</v>
      </c>
      <c r="E11" s="178">
        <v>621</v>
      </c>
      <c r="F11" s="178">
        <v>828</v>
      </c>
      <c r="G11" s="178">
        <v>1059</v>
      </c>
      <c r="H11" s="178">
        <f>'Coût réel Actualisé'!H27</f>
        <v>1219.25</v>
      </c>
      <c r="I11" s="178">
        <f>'Coût réel Actualisé'!I27</f>
        <v>1437.8125</v>
      </c>
      <c r="J11" s="178">
        <f>'Coût réel Actualisé'!J27</f>
        <v>1625.5</v>
      </c>
      <c r="K11" s="178">
        <f>'Coût réel Actualisé'!K27</f>
        <v>1813.2249999999999</v>
      </c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spans="1:26" x14ac:dyDescent="0.3">
      <c r="A12" s="16" t="s">
        <v>307</v>
      </c>
      <c r="B12" s="178">
        <f t="shared" ref="B12:G12" si="0">1717-B11</f>
        <v>1599</v>
      </c>
      <c r="C12" s="178">
        <f t="shared" si="0"/>
        <v>1482</v>
      </c>
      <c r="D12" s="178">
        <f t="shared" si="0"/>
        <v>1287</v>
      </c>
      <c r="E12" s="178">
        <f t="shared" si="0"/>
        <v>1096</v>
      </c>
      <c r="F12" s="178">
        <f t="shared" si="0"/>
        <v>889</v>
      </c>
      <c r="G12" s="178">
        <f t="shared" si="0"/>
        <v>658</v>
      </c>
      <c r="H12" s="178">
        <f>'Coût Prévisionnel'!H24</f>
        <v>829</v>
      </c>
      <c r="I12" s="178">
        <f>'Coût Prévisionnel'!I24</f>
        <v>641</v>
      </c>
      <c r="J12" s="178">
        <f>'Coût Prévisionnel'!J24</f>
        <v>448</v>
      </c>
      <c r="K12" s="178">
        <f>'Coût Prévisionnel'!K24</f>
        <v>303</v>
      </c>
      <c r="L12" s="178">
        <f>'Coût Prévisionnel'!L24</f>
        <v>193</v>
      </c>
      <c r="M12" s="178">
        <f>'Coût Prévisionnel'!M24</f>
        <v>92</v>
      </c>
      <c r="N12" s="178">
        <f>'Coût Prévisionnel'!N24</f>
        <v>72</v>
      </c>
      <c r="O12" s="178">
        <f>'Coût Prévisionnel'!O24</f>
        <v>66</v>
      </c>
      <c r="P12" s="178">
        <f>'Coût Prévisionnel'!P24</f>
        <v>60</v>
      </c>
      <c r="Q12" s="178">
        <f>'Coût Prévisionnel'!Q24</f>
        <v>54</v>
      </c>
      <c r="R12" s="178">
        <f>'Coût Prévisionnel'!R24</f>
        <v>48</v>
      </c>
      <c r="S12" s="178">
        <f>'Coût Prévisionnel'!S24</f>
        <v>42</v>
      </c>
      <c r="T12" s="178">
        <f>'Coût Prévisionnel'!T24</f>
        <v>36</v>
      </c>
      <c r="U12" s="178">
        <f>'Coût Prévisionnel'!U24</f>
        <v>30</v>
      </c>
      <c r="V12" s="178">
        <f>'Coût Prévisionnel'!V24</f>
        <v>24</v>
      </c>
      <c r="W12" s="178">
        <f>'Coût Prévisionnel'!W24</f>
        <v>18</v>
      </c>
      <c r="X12" s="178">
        <f>'Coût Prévisionnel'!X24</f>
        <v>12</v>
      </c>
      <c r="Y12" s="178">
        <f>'Coût Prévisionnel'!Y24</f>
        <v>6</v>
      </c>
      <c r="Z12" s="178">
        <f>'Coût Prévisionnel'!Z24</f>
        <v>0</v>
      </c>
    </row>
    <row r="13" spans="1:26" x14ac:dyDescent="0.3">
      <c r="A13" s="16" t="s">
        <v>308</v>
      </c>
      <c r="B13" s="178">
        <f t="shared" ref="B13:Z13" si="1">1717-B12-B11</f>
        <v>0</v>
      </c>
      <c r="C13" s="178">
        <f>1717-C12-C11</f>
        <v>0</v>
      </c>
      <c r="D13" s="178">
        <f t="shared" si="1"/>
        <v>0</v>
      </c>
      <c r="E13" s="178">
        <f t="shared" si="1"/>
        <v>0</v>
      </c>
      <c r="F13" s="178">
        <f t="shared" si="1"/>
        <v>0</v>
      </c>
      <c r="G13" s="178">
        <f t="shared" si="1"/>
        <v>0</v>
      </c>
      <c r="H13" s="178">
        <f t="shared" si="1"/>
        <v>-331.25</v>
      </c>
      <c r="I13" s="178">
        <f t="shared" si="1"/>
        <v>-361.8125</v>
      </c>
      <c r="J13" s="178">
        <f t="shared" si="1"/>
        <v>-356.5</v>
      </c>
      <c r="K13" s="178">
        <f t="shared" si="1"/>
        <v>-399.22499999999991</v>
      </c>
      <c r="L13" s="178">
        <f t="shared" si="1"/>
        <v>1524</v>
      </c>
      <c r="M13" s="178">
        <f t="shared" si="1"/>
        <v>1625</v>
      </c>
      <c r="N13" s="178">
        <f t="shared" si="1"/>
        <v>1645</v>
      </c>
      <c r="O13" s="178">
        <f t="shared" si="1"/>
        <v>1651</v>
      </c>
      <c r="P13" s="178">
        <f t="shared" si="1"/>
        <v>1657</v>
      </c>
      <c r="Q13" s="178">
        <f t="shared" si="1"/>
        <v>1663</v>
      </c>
      <c r="R13" s="178">
        <f t="shared" si="1"/>
        <v>1669</v>
      </c>
      <c r="S13" s="178">
        <f t="shared" si="1"/>
        <v>1675</v>
      </c>
      <c r="T13" s="178">
        <f t="shared" si="1"/>
        <v>1681</v>
      </c>
      <c r="U13" s="178">
        <f t="shared" si="1"/>
        <v>1687</v>
      </c>
      <c r="V13" s="178">
        <f t="shared" si="1"/>
        <v>1693</v>
      </c>
      <c r="W13" s="178">
        <f t="shared" si="1"/>
        <v>1699</v>
      </c>
      <c r="X13" s="178">
        <f t="shared" si="1"/>
        <v>1705</v>
      </c>
      <c r="Y13" s="178">
        <f t="shared" si="1"/>
        <v>1711</v>
      </c>
      <c r="Z13" s="178">
        <f t="shared" si="1"/>
        <v>1717</v>
      </c>
    </row>
    <row r="14" spans="1:26" x14ac:dyDescent="0.3">
      <c r="A14" s="16" t="s">
        <v>309</v>
      </c>
      <c r="B14" s="108">
        <f>$D$2*B8</f>
        <v>211643.57739999998</v>
      </c>
      <c r="C14" s="108">
        <f t="shared" ref="C14:I14" si="2">$D$2*C8</f>
        <v>317465.36609999998</v>
      </c>
      <c r="D14" s="108">
        <f t="shared" si="2"/>
        <v>423287.15479999996</v>
      </c>
      <c r="E14" s="108">
        <f t="shared" si="2"/>
        <v>476198.04914999998</v>
      </c>
      <c r="F14" s="108">
        <f t="shared" si="2"/>
        <v>529108.94350000005</v>
      </c>
      <c r="G14" s="108">
        <f>$D$2*G8</f>
        <v>687841.62654999993</v>
      </c>
      <c r="H14" s="108">
        <f>$D$2*H8</f>
        <v>740752.5209</v>
      </c>
      <c r="I14" s="108">
        <f t="shared" si="2"/>
        <v>899485.20395</v>
      </c>
      <c r="J14" s="108">
        <f>$D$2*J8</f>
        <v>973560.45603999984</v>
      </c>
      <c r="K14" s="108">
        <f>$D$2*K8</f>
        <v>1058217.8870000001</v>
      </c>
      <c r="L14" s="108">
        <f>$D$2*L8</f>
        <v>0</v>
      </c>
      <c r="M14" s="108">
        <f t="shared" ref="M14:Z14" si="3">$D$2*M8</f>
        <v>0</v>
      </c>
      <c r="N14" s="108">
        <f t="shared" si="3"/>
        <v>0</v>
      </c>
      <c r="O14" s="108">
        <f t="shared" si="3"/>
        <v>0</v>
      </c>
      <c r="P14" s="108">
        <f t="shared" si="3"/>
        <v>0</v>
      </c>
      <c r="Q14" s="108">
        <f t="shared" si="3"/>
        <v>0</v>
      </c>
      <c r="R14" s="108">
        <f t="shared" si="3"/>
        <v>0</v>
      </c>
      <c r="S14" s="108">
        <f t="shared" si="3"/>
        <v>0</v>
      </c>
      <c r="T14" s="108">
        <f t="shared" si="3"/>
        <v>0</v>
      </c>
      <c r="U14" s="108">
        <f t="shared" si="3"/>
        <v>0</v>
      </c>
      <c r="V14" s="108">
        <f t="shared" si="3"/>
        <v>0</v>
      </c>
      <c r="W14" s="108">
        <f t="shared" si="3"/>
        <v>0</v>
      </c>
      <c r="X14" s="108">
        <f t="shared" si="3"/>
        <v>0</v>
      </c>
      <c r="Y14" s="108">
        <f t="shared" si="3"/>
        <v>0</v>
      </c>
      <c r="Z14" s="108">
        <f t="shared" si="3"/>
        <v>0</v>
      </c>
    </row>
    <row r="15" spans="1:26" x14ac:dyDescent="0.3">
      <c r="A15" s="16" t="s">
        <v>310</v>
      </c>
      <c r="B15" s="108">
        <f>Avancement_Facturation!B15</f>
        <v>0</v>
      </c>
      <c r="C15" s="108">
        <f>Avancement_Facturation!C15</f>
        <v>126986.14644</v>
      </c>
      <c r="D15" s="108">
        <f>Avancement_Facturation!D15</f>
        <v>126986.14644</v>
      </c>
      <c r="E15" s="108">
        <f>Avancement_Facturation!E15</f>
        <v>126986.14644</v>
      </c>
      <c r="F15" s="108">
        <f>Avancement_Facturation!F15</f>
        <v>330163.980744</v>
      </c>
      <c r="G15" s="108">
        <f>Avancement_Facturation!G15</f>
        <v>330163.980744</v>
      </c>
      <c r="H15" s="108">
        <f>Avancement_Facturation!H15</f>
        <v>533341.81504799996</v>
      </c>
      <c r="I15" s="108">
        <f>Avancement_Facturation!I15</f>
        <v>533341.81504799996</v>
      </c>
      <c r="J15" s="108">
        <f>Avancement_Facturation!J15</f>
        <v>736519.64935199998</v>
      </c>
      <c r="K15" s="108">
        <f>Avancement_Facturation!K15</f>
        <v>736519.64935199998</v>
      </c>
      <c r="L15" s="108">
        <f>Avancement_Facturation!L15</f>
        <v>939697.483656</v>
      </c>
      <c r="M15" s="108">
        <f>Avancement_Facturation!M15</f>
        <v>939697.483656</v>
      </c>
      <c r="N15" s="108">
        <f>Avancement_Facturation!N15</f>
        <v>939697.483656</v>
      </c>
      <c r="O15" s="108">
        <f>Avancement_Facturation!O15</f>
        <v>939697.483656</v>
      </c>
      <c r="P15" s="108">
        <f>Avancement_Facturation!P15</f>
        <v>939697.483656</v>
      </c>
      <c r="Q15" s="108">
        <f>Avancement_Facturation!Q15</f>
        <v>939697.483656</v>
      </c>
      <c r="R15" s="108">
        <f>Avancement_Facturation!R15</f>
        <v>939697.483656</v>
      </c>
      <c r="S15" s="108">
        <f>Avancement_Facturation!S15</f>
        <v>939697.483656</v>
      </c>
      <c r="T15" s="108">
        <f>Avancement_Facturation!T15</f>
        <v>1003190.556876</v>
      </c>
      <c r="U15" s="108">
        <f>Avancement_Facturation!U15</f>
        <v>1003190.556876</v>
      </c>
      <c r="V15" s="108">
        <f>Avancement_Facturation!AH15</f>
        <v>0</v>
      </c>
      <c r="W15" s="108">
        <f>Avancement_Facturation!AI15</f>
        <v>0</v>
      </c>
      <c r="X15" s="108">
        <f>Avancement_Facturation!AJ15</f>
        <v>0</v>
      </c>
      <c r="Y15" s="108">
        <f>Avancement_Facturation!AK15</f>
        <v>0</v>
      </c>
      <c r="Z15" s="108">
        <f>Avancement_Facturation!AL15</f>
        <v>0</v>
      </c>
    </row>
    <row r="16" spans="1:26" x14ac:dyDescent="0.3">
      <c r="A16" s="16" t="s">
        <v>311</v>
      </c>
      <c r="B16" s="81">
        <f t="shared" ref="B16:M16" si="4">B14-B15</f>
        <v>211643.57739999998</v>
      </c>
      <c r="C16" s="81">
        <f t="shared" si="4"/>
        <v>190479.21966</v>
      </c>
      <c r="D16" s="81">
        <f t="shared" si="4"/>
        <v>296301.00835999998</v>
      </c>
      <c r="E16" s="81">
        <f t="shared" si="4"/>
        <v>349211.90270999999</v>
      </c>
      <c r="F16" s="81">
        <f t="shared" si="4"/>
        <v>198944.96275600005</v>
      </c>
      <c r="G16" s="81">
        <f t="shared" si="4"/>
        <v>357677.64580599993</v>
      </c>
      <c r="H16" s="81">
        <f t="shared" si="4"/>
        <v>207410.70585200004</v>
      </c>
      <c r="I16" s="81">
        <f t="shared" si="4"/>
        <v>366143.38890200004</v>
      </c>
      <c r="J16" s="81">
        <f t="shared" si="4"/>
        <v>237040.80668799987</v>
      </c>
      <c r="K16" s="81">
        <f t="shared" si="4"/>
        <v>321698.23764800013</v>
      </c>
      <c r="L16" s="81">
        <f t="shared" si="4"/>
        <v>-939697.483656</v>
      </c>
      <c r="M16" s="81">
        <f t="shared" si="4"/>
        <v>-939697.483656</v>
      </c>
      <c r="N16" s="81">
        <f t="shared" ref="N16:Z16" si="5">N14-N15</f>
        <v>-939697.483656</v>
      </c>
      <c r="O16" s="81">
        <f t="shared" si="5"/>
        <v>-939697.483656</v>
      </c>
      <c r="P16" s="81">
        <f t="shared" si="5"/>
        <v>-939697.483656</v>
      </c>
      <c r="Q16" s="81">
        <f t="shared" si="5"/>
        <v>-939697.483656</v>
      </c>
      <c r="R16" s="81">
        <f t="shared" si="5"/>
        <v>-939697.483656</v>
      </c>
      <c r="S16" s="81">
        <f t="shared" si="5"/>
        <v>-939697.483656</v>
      </c>
      <c r="T16" s="81">
        <f t="shared" si="5"/>
        <v>-1003190.556876</v>
      </c>
      <c r="U16" s="81">
        <f t="shared" si="5"/>
        <v>-1003190.556876</v>
      </c>
      <c r="V16" s="81">
        <f t="shared" si="5"/>
        <v>0</v>
      </c>
      <c r="W16" s="81">
        <f t="shared" si="5"/>
        <v>0</v>
      </c>
      <c r="X16" s="81">
        <f t="shared" si="5"/>
        <v>0</v>
      </c>
      <c r="Y16" s="81">
        <f t="shared" si="5"/>
        <v>0</v>
      </c>
      <c r="Z16" s="81">
        <f t="shared" si="5"/>
        <v>0</v>
      </c>
    </row>
    <row r="17" spans="1:26" x14ac:dyDescent="0.3">
      <c r="A17" s="16" t="s">
        <v>312</v>
      </c>
      <c r="B17" s="179">
        <f>'Coût réel Actualisé'!B51</f>
        <v>35043.516033875145</v>
      </c>
      <c r="C17" s="179">
        <f>'Coût réel Actualisé'!C51</f>
        <v>70702.302626144228</v>
      </c>
      <c r="D17" s="179">
        <f>'Coût réel Actualisé'!D51</f>
        <v>114946.78914649332</v>
      </c>
      <c r="E17" s="179">
        <f>'Coût réel Actualisé'!E51</f>
        <v>157206.5085205806</v>
      </c>
      <c r="F17" s="179">
        <f>'Coût réel Actualisé'!F51</f>
        <v>204677.46742479393</v>
      </c>
      <c r="G17" s="179">
        <f>'Coût réel Actualisé'!G51</f>
        <v>280353.70281361177</v>
      </c>
      <c r="H17" s="179">
        <f>'Coût réel Actualisé'!H51</f>
        <v>338992.44527237653</v>
      </c>
      <c r="I17" s="179">
        <f>'Coût réel Actualisé'!I51</f>
        <v>408571.12167925877</v>
      </c>
      <c r="J17" s="179">
        <f>'Coût réel Actualisé'!J51</f>
        <v>473238.97836937872</v>
      </c>
      <c r="K17" s="179">
        <f>'Coût réel Actualisé'!K51</f>
        <v>534254.85599705752</v>
      </c>
      <c r="L17" s="179">
        <f>'Coût réel Actualisé'!L51</f>
        <v>596261.16945137247</v>
      </c>
      <c r="M17" s="179">
        <f>'Coût réel Actualisé'!M51</f>
        <v>623333.50545137248</v>
      </c>
      <c r="N17" s="179">
        <f>'Coût réel Actualisé'!N51</f>
        <v>630886.0387847058</v>
      </c>
      <c r="O17" s="179" t="e">
        <f>'Coût réel Actualisé'!#REF!</f>
        <v>#REF!</v>
      </c>
      <c r="P17" s="179" t="e">
        <f>'Coût réel Actualisé'!#REF!</f>
        <v>#REF!</v>
      </c>
      <c r="Q17" s="179" t="e">
        <f>'Coût réel Actualisé'!#REF!</f>
        <v>#REF!</v>
      </c>
      <c r="R17" s="179">
        <f>'Coût réel Actualisé'!O51</f>
        <v>633159.50545137248</v>
      </c>
      <c r="S17" s="179">
        <f>'Coût réel Actualisé'!P51</f>
        <v>639613.61628538975</v>
      </c>
      <c r="T17" s="179">
        <f>'Coût réel Actualisé'!Q51</f>
        <v>640322.7874295928</v>
      </c>
      <c r="U17" s="179">
        <f>'Coût réel Actualisé'!R51</f>
        <v>642540.4994335731</v>
      </c>
      <c r="V17" s="179">
        <f>'Coût réel Actualisé'!S51</f>
        <v>643766.2820718633</v>
      </c>
      <c r="W17" s="179">
        <f>'Coût réel Actualisé'!T51</f>
        <v>648979.77676018164</v>
      </c>
      <c r="X17" s="179">
        <f>'Coût réel Actualisé'!U51</f>
        <v>652624.58877731801</v>
      </c>
      <c r="Y17" s="179">
        <f>'Coût réel Actualisé'!V51</f>
        <v>658822.10169889091</v>
      </c>
      <c r="Z17" s="179">
        <f>'Coût réel Actualisé'!W51</f>
        <v>659809.34657901269</v>
      </c>
    </row>
    <row r="18" spans="1:26" x14ac:dyDescent="0.3">
      <c r="A18" s="16" t="s">
        <v>313</v>
      </c>
      <c r="B18" s="101">
        <f>B19/B14</f>
        <v>0.8344220199621557</v>
      </c>
      <c r="C18" s="101">
        <f t="shared" ref="C18:M18" si="6">C19/C14</f>
        <v>0.77729128851216689</v>
      </c>
      <c r="D18" s="101">
        <f t="shared" si="6"/>
        <v>0.72844252927825126</v>
      </c>
      <c r="E18" s="101">
        <f t="shared" si="6"/>
        <v>0.66987158220998644</v>
      </c>
      <c r="F18" s="101">
        <f t="shared" si="6"/>
        <v>0.61316573847556988</v>
      </c>
      <c r="G18" s="101">
        <f>G19/G14</f>
        <v>0.59241532935455077</v>
      </c>
      <c r="H18" s="101">
        <f t="shared" si="6"/>
        <v>0.54236747671070051</v>
      </c>
      <c r="I18" s="101">
        <f t="shared" si="6"/>
        <v>0.54577227075547297</v>
      </c>
      <c r="J18" s="101">
        <f>J19/J14</f>
        <v>0.51390899719335437</v>
      </c>
      <c r="K18" s="101">
        <f t="shared" si="6"/>
        <v>0.49513719002459322</v>
      </c>
      <c r="L18" s="101" t="e">
        <f>L19/L14</f>
        <v>#DIV/0!</v>
      </c>
      <c r="M18" s="101" t="e">
        <f t="shared" si="6"/>
        <v>#DIV/0!</v>
      </c>
      <c r="N18" s="101" t="e">
        <f t="shared" ref="N18:Z18" si="7">N19/N14</f>
        <v>#DIV/0!</v>
      </c>
      <c r="O18" s="101" t="e">
        <f t="shared" si="7"/>
        <v>#REF!</v>
      </c>
      <c r="P18" s="101" t="e">
        <f t="shared" si="7"/>
        <v>#REF!</v>
      </c>
      <c r="Q18" s="101" t="e">
        <f t="shared" si="7"/>
        <v>#REF!</v>
      </c>
      <c r="R18" s="101" t="e">
        <f t="shared" si="7"/>
        <v>#DIV/0!</v>
      </c>
      <c r="S18" s="101" t="e">
        <f t="shared" si="7"/>
        <v>#DIV/0!</v>
      </c>
      <c r="T18" s="101" t="e">
        <f t="shared" si="7"/>
        <v>#DIV/0!</v>
      </c>
      <c r="U18" s="101" t="e">
        <f t="shared" si="7"/>
        <v>#DIV/0!</v>
      </c>
      <c r="V18" s="101" t="e">
        <f t="shared" si="7"/>
        <v>#DIV/0!</v>
      </c>
      <c r="W18" s="101" t="e">
        <f t="shared" si="7"/>
        <v>#DIV/0!</v>
      </c>
      <c r="X18" s="101" t="e">
        <f t="shared" si="7"/>
        <v>#DIV/0!</v>
      </c>
      <c r="Y18" s="101" t="e">
        <f t="shared" si="7"/>
        <v>#DIV/0!</v>
      </c>
      <c r="Z18" s="101" t="e">
        <f t="shared" si="7"/>
        <v>#DIV/0!</v>
      </c>
    </row>
    <row r="19" spans="1:26" x14ac:dyDescent="0.3">
      <c r="A19" s="16" t="s">
        <v>314</v>
      </c>
      <c r="B19" s="76">
        <f>B14-B17</f>
        <v>176600.06136612484</v>
      </c>
      <c r="C19" s="76">
        <f t="shared" ref="C19:M19" si="8">C14-C17</f>
        <v>246763.06347385576</v>
      </c>
      <c r="D19" s="76">
        <f t="shared" si="8"/>
        <v>308340.36565350665</v>
      </c>
      <c r="E19" s="76">
        <f t="shared" si="8"/>
        <v>318991.54062941938</v>
      </c>
      <c r="F19" s="76">
        <f t="shared" si="8"/>
        <v>324431.47607520613</v>
      </c>
      <c r="G19" s="76">
        <f>G14-G17</f>
        <v>407487.92373638815</v>
      </c>
      <c r="H19" s="76">
        <f t="shared" si="8"/>
        <v>401760.07562762348</v>
      </c>
      <c r="I19" s="76">
        <f t="shared" si="8"/>
        <v>490914.08227074123</v>
      </c>
      <c r="J19" s="76">
        <f>J14-J17</f>
        <v>500321.47767062113</v>
      </c>
      <c r="K19" s="76">
        <f>K14-K17</f>
        <v>523963.03100294259</v>
      </c>
      <c r="L19" s="76">
        <f t="shared" si="8"/>
        <v>-596261.16945137247</v>
      </c>
      <c r="M19" s="76">
        <f t="shared" si="8"/>
        <v>-623333.50545137248</v>
      </c>
      <c r="N19" s="76">
        <f t="shared" ref="N19:Z19" si="9">N14-N17</f>
        <v>-630886.0387847058</v>
      </c>
      <c r="O19" s="76" t="e">
        <f t="shared" si="9"/>
        <v>#REF!</v>
      </c>
      <c r="P19" s="76" t="e">
        <f t="shared" si="9"/>
        <v>#REF!</v>
      </c>
      <c r="Q19" s="76" t="e">
        <f t="shared" si="9"/>
        <v>#REF!</v>
      </c>
      <c r="R19" s="76">
        <f t="shared" si="9"/>
        <v>-633159.50545137248</v>
      </c>
      <c r="S19" s="76">
        <f t="shared" si="9"/>
        <v>-639613.61628538975</v>
      </c>
      <c r="T19" s="76">
        <f t="shared" si="9"/>
        <v>-640322.7874295928</v>
      </c>
      <c r="U19" s="76">
        <f t="shared" si="9"/>
        <v>-642540.4994335731</v>
      </c>
      <c r="V19" s="76">
        <f t="shared" si="9"/>
        <v>-643766.2820718633</v>
      </c>
      <c r="W19" s="76">
        <f t="shared" si="9"/>
        <v>-648979.77676018164</v>
      </c>
      <c r="X19" s="76">
        <f t="shared" si="9"/>
        <v>-652624.58877731801</v>
      </c>
      <c r="Y19" s="76">
        <f t="shared" si="9"/>
        <v>-658822.10169889091</v>
      </c>
      <c r="Z19" s="76">
        <f t="shared" si="9"/>
        <v>-659809.34657901269</v>
      </c>
    </row>
    <row r="20" spans="1:26" x14ac:dyDescent="0.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2" spans="1:26" ht="27.45" customHeight="1" x14ac:dyDescent="0.3">
      <c r="A22" s="22" t="s">
        <v>315</v>
      </c>
      <c r="B22" s="23">
        <v>45323</v>
      </c>
      <c r="C22" s="23">
        <v>45352</v>
      </c>
      <c r="D22" s="23">
        <v>45383</v>
      </c>
      <c r="E22" s="23">
        <v>45413</v>
      </c>
      <c r="F22" s="23">
        <v>45444</v>
      </c>
      <c r="G22" s="23">
        <v>45474</v>
      </c>
      <c r="H22" s="23">
        <v>45505</v>
      </c>
      <c r="I22" s="23">
        <v>45536</v>
      </c>
      <c r="J22" s="23">
        <v>45566</v>
      </c>
      <c r="K22" s="23">
        <v>45597</v>
      </c>
      <c r="L22" s="23">
        <v>45627</v>
      </c>
      <c r="M22" s="23">
        <v>45658</v>
      </c>
      <c r="N22" s="23">
        <v>45689</v>
      </c>
      <c r="O22" s="23">
        <v>45717</v>
      </c>
      <c r="P22" s="23">
        <v>45748</v>
      </c>
      <c r="Q22" s="23">
        <v>45778</v>
      </c>
      <c r="R22" s="23">
        <v>45809</v>
      </c>
      <c r="S22" s="23">
        <v>45839</v>
      </c>
      <c r="T22" s="23">
        <v>45870</v>
      </c>
      <c r="U22" s="23">
        <v>45901</v>
      </c>
      <c r="V22" s="23">
        <v>45931</v>
      </c>
      <c r="W22" s="23">
        <v>45962</v>
      </c>
      <c r="X22" s="23">
        <v>45992</v>
      </c>
      <c r="Y22" s="23">
        <v>46023</v>
      </c>
      <c r="Z22" s="23">
        <v>46054</v>
      </c>
    </row>
    <row r="23" spans="1:26" x14ac:dyDescent="0.3">
      <c r="A23" s="17" t="s">
        <v>316</v>
      </c>
      <c r="B23" s="81">
        <f>710000-B17</f>
        <v>674956.48396612483</v>
      </c>
      <c r="C23" s="81">
        <f>710000-C17</f>
        <v>639297.69737385574</v>
      </c>
      <c r="D23" s="81">
        <f>710000-D17</f>
        <v>595053.21085350669</v>
      </c>
      <c r="E23" s="81">
        <f>710000-E17</f>
        <v>552793.4914794194</v>
      </c>
      <c r="F23" s="81">
        <f>710000-F17</f>
        <v>505322.53257520607</v>
      </c>
      <c r="G23" s="81" t="e">
        <f>'Coût Prévisionnel'!G43</f>
        <v>#REF!</v>
      </c>
      <c r="H23" s="81" t="e">
        <f>'Coût Prévisionnel'!H43</f>
        <v>#REF!</v>
      </c>
      <c r="I23" s="81" t="e">
        <f>'Coût Prévisionnel'!I43</f>
        <v>#REF!</v>
      </c>
      <c r="J23" s="81" t="e">
        <f>'Coût Prévisionnel'!J43</f>
        <v>#REF!</v>
      </c>
      <c r="K23" s="61" t="e">
        <f>'Coût Prévisionnel'!K43</f>
        <v>#REF!</v>
      </c>
      <c r="L23" s="61" t="e">
        <f>'Coût Prévisionnel'!L43</f>
        <v>#REF!</v>
      </c>
      <c r="M23" s="61" t="e">
        <f>'Coût Prévisionnel'!M43</f>
        <v>#REF!</v>
      </c>
      <c r="N23" s="61" t="e">
        <f>'Coût Prévisionnel'!N43</f>
        <v>#REF!</v>
      </c>
      <c r="O23" s="61" t="e">
        <f>'Coût Prévisionnel'!O43</f>
        <v>#REF!</v>
      </c>
      <c r="P23" s="61" t="e">
        <f>'Coût Prévisionnel'!P43</f>
        <v>#REF!</v>
      </c>
      <c r="Q23" s="61" t="e">
        <f>'Coût Prévisionnel'!Q43</f>
        <v>#REF!</v>
      </c>
      <c r="R23" s="61" t="e">
        <f>'Coût Prévisionnel'!R43</f>
        <v>#REF!</v>
      </c>
      <c r="S23" s="61" t="e">
        <f>'Coût Prévisionnel'!S43</f>
        <v>#REF!</v>
      </c>
      <c r="T23" s="61" t="e">
        <f>'Coût Prévisionnel'!T43</f>
        <v>#REF!</v>
      </c>
      <c r="U23" s="61" t="e">
        <f>'Coût Prévisionnel'!U43</f>
        <v>#REF!</v>
      </c>
      <c r="V23" s="61" t="e">
        <f>'Coût Prévisionnel'!V43</f>
        <v>#REF!</v>
      </c>
      <c r="W23" s="61" t="e">
        <f>'Coût Prévisionnel'!W43</f>
        <v>#REF!</v>
      </c>
      <c r="X23" s="81" t="e">
        <f>'Coût Prévisionnel'!X42</f>
        <v>#REF!</v>
      </c>
      <c r="Y23" s="81" t="e">
        <f>'Coût Prévisionnel'!Y42</f>
        <v>#REF!</v>
      </c>
      <c r="Z23" s="81" t="e">
        <f>'Coût Prévisionnel'!Z42</f>
        <v>#REF!</v>
      </c>
    </row>
    <row r="24" spans="1:26" x14ac:dyDescent="0.3">
      <c r="A24" s="18" t="s">
        <v>317</v>
      </c>
      <c r="B24" s="110">
        <f>B25/'S. Contractuelle'!B15</f>
        <v>0.44088389174367953</v>
      </c>
      <c r="C24" s="110">
        <f>C25/'S. Contractuelle'!C15</f>
        <v>0.44088389174367953</v>
      </c>
      <c r="D24" s="110">
        <f>D25/'S. Contractuelle'!D15</f>
        <v>0.44088389174367953</v>
      </c>
      <c r="E24" s="110">
        <f>E25/'S. Contractuelle'!E15</f>
        <v>0.44088389174367953</v>
      </c>
      <c r="F24" s="110">
        <f>F25/'S. Contractuelle'!F15</f>
        <v>0.44088389174367953</v>
      </c>
      <c r="G24" s="110" t="e">
        <f>G25/'S. Contractuelle'!G15</f>
        <v>#REF!</v>
      </c>
      <c r="H24" s="110" t="e">
        <f>H25/'S. Contractuelle'!H15</f>
        <v>#REF!</v>
      </c>
      <c r="I24" s="110" t="e">
        <f>I25/'S. Contractuelle'!I15</f>
        <v>#REF!</v>
      </c>
      <c r="J24" s="77" t="e">
        <f>J25/'S. Contractuelle'!B15</f>
        <v>#REF!</v>
      </c>
      <c r="K24" s="77" t="e">
        <f>K25/'S. Contractuelle'!C15</f>
        <v>#REF!</v>
      </c>
      <c r="L24" s="77" t="e">
        <f>L25/'S. Contractuelle'!D15</f>
        <v>#REF!</v>
      </c>
      <c r="M24" s="77" t="e">
        <f>M25/'S. Contractuelle'!E15</f>
        <v>#REF!</v>
      </c>
      <c r="N24" s="77" t="e">
        <f>N25/'S. Contractuelle'!F15</f>
        <v>#REF!</v>
      </c>
      <c r="O24" s="77" t="e">
        <f>O25/'S. Contractuelle'!G15</f>
        <v>#REF!</v>
      </c>
      <c r="P24" s="77" t="e">
        <f>P25/'S. Contractuelle'!H15</f>
        <v>#REF!</v>
      </c>
      <c r="Q24" s="77" t="e">
        <f>Q25/'S. Contractuelle'!I15</f>
        <v>#REF!</v>
      </c>
      <c r="R24" s="77" t="e">
        <f>R25/'S. Contractuelle'!J15</f>
        <v>#REF!</v>
      </c>
      <c r="S24" s="77" t="e">
        <f>S25/'S. Contractuelle'!K15</f>
        <v>#REF!</v>
      </c>
      <c r="T24" s="77" t="e">
        <f>T25/'S. Contractuelle'!L15</f>
        <v>#REF!</v>
      </c>
      <c r="U24" s="77" t="e">
        <f>U25/'S. Contractuelle'!M15</f>
        <v>#REF!</v>
      </c>
      <c r="V24" s="77" t="e">
        <f>V25/'S. Contractuelle'!N15</f>
        <v>#REF!</v>
      </c>
      <c r="W24" s="77" t="e">
        <f>W25/'S. Contractuelle'!O15</f>
        <v>#REF!</v>
      </c>
      <c r="X24" s="77" t="e">
        <f>X25/'S. Contractuelle'!P15</f>
        <v>#REF!</v>
      </c>
      <c r="Y24" s="77" t="e">
        <f>Y25/'S. Contractuelle'!Q15</f>
        <v>#REF!</v>
      </c>
      <c r="Z24" s="77" t="e">
        <f>Z25/'S. Contractuelle'!R15</f>
        <v>#REF!</v>
      </c>
    </row>
    <row r="25" spans="1:26" x14ac:dyDescent="0.3">
      <c r="A25" s="18" t="s">
        <v>318</v>
      </c>
      <c r="B25" s="76">
        <f>'S. Contractuelle'!B15-(B17+B23)</f>
        <v>559861.46439999994</v>
      </c>
      <c r="C25" s="76">
        <f>'S. Contractuelle'!C15-(C17+C23)</f>
        <v>559861.46439999994</v>
      </c>
      <c r="D25" s="76">
        <f>'S. Contractuelle'!D15-(D17+D23)</f>
        <v>559861.46439999994</v>
      </c>
      <c r="E25" s="76">
        <f>'S. Contractuelle'!E15-(E17+E23)</f>
        <v>559861.46439999994</v>
      </c>
      <c r="F25" s="76">
        <f>'S. Contractuelle'!F15-(F17+F23)</f>
        <v>559861.46439999994</v>
      </c>
      <c r="G25" s="76" t="e">
        <f>'S. Contractuelle'!G15-(G17+G23)</f>
        <v>#REF!</v>
      </c>
      <c r="H25" s="76" t="e">
        <f>'S. Contractuelle'!H15-(H17+H23)</f>
        <v>#REF!</v>
      </c>
      <c r="I25" s="76" t="e">
        <f>'S. Contractuelle'!I15-(I17+I23)</f>
        <v>#REF!</v>
      </c>
      <c r="J25" s="76" t="e">
        <f>'S. Contractuelle'!J15-(J17+J23)</f>
        <v>#REF!</v>
      </c>
      <c r="K25" s="76" t="e">
        <f>'S. Contractuelle'!C15-(K17+K23)</f>
        <v>#REF!</v>
      </c>
      <c r="L25" s="76" t="e">
        <f>'S. Contractuelle'!D15-(L17+L23)</f>
        <v>#REF!</v>
      </c>
      <c r="M25" s="76" t="e">
        <f>'S. Contractuelle'!E15-(M17+M23)</f>
        <v>#REF!</v>
      </c>
      <c r="N25" s="76" t="e">
        <f>'S. Contractuelle'!F15-(N17+N23)</f>
        <v>#REF!</v>
      </c>
      <c r="O25" s="76" t="e">
        <f>'S. Contractuelle'!G15-(O17+O23)</f>
        <v>#REF!</v>
      </c>
      <c r="P25" s="76" t="e">
        <f>'S. Contractuelle'!H15-(P17+P23)</f>
        <v>#REF!</v>
      </c>
      <c r="Q25" s="76" t="e">
        <f>'S. Contractuelle'!I15-(Q17+Q23)</f>
        <v>#REF!</v>
      </c>
      <c r="R25" s="76" t="e">
        <f>'S. Contractuelle'!J15-(R17+R23)</f>
        <v>#REF!</v>
      </c>
      <c r="S25" s="76" t="e">
        <f>'S. Contractuelle'!K15-(S17+S23)</f>
        <v>#REF!</v>
      </c>
      <c r="T25" s="76" t="e">
        <f>'S. Contractuelle'!L15-(T17+T23)</f>
        <v>#REF!</v>
      </c>
      <c r="U25" s="76" t="e">
        <f>'S. Contractuelle'!M15-(U17+U23)</f>
        <v>#REF!</v>
      </c>
      <c r="V25" s="76" t="e">
        <f>'S. Contractuelle'!N15-(V17+V23)</f>
        <v>#REF!</v>
      </c>
      <c r="W25" s="76" t="e">
        <f>'S. Contractuelle'!O15-(W17+W23)</f>
        <v>#REF!</v>
      </c>
      <c r="X25" s="76" t="e">
        <f>'S. Contractuelle'!P15-(X17+X23)</f>
        <v>#REF!</v>
      </c>
      <c r="Y25" s="76" t="e">
        <f>'S. Contractuelle'!Q15-(Y17+Y23)</f>
        <v>#REF!</v>
      </c>
      <c r="Z25" s="76" t="e">
        <f>'S. Contractuelle'!R15-(Z17+Z23)</f>
        <v>#REF!</v>
      </c>
    </row>
    <row r="26" spans="1:26" x14ac:dyDescent="0.3">
      <c r="A26" s="18" t="s">
        <v>319</v>
      </c>
      <c r="B26" s="192">
        <v>45693</v>
      </c>
      <c r="C26" s="192">
        <v>45693</v>
      </c>
      <c r="D26" s="192">
        <v>45693</v>
      </c>
      <c r="E26" s="192">
        <v>45693</v>
      </c>
      <c r="F26" s="192">
        <v>45693</v>
      </c>
      <c r="G26" s="192">
        <v>45693</v>
      </c>
      <c r="H26" s="192">
        <v>45693</v>
      </c>
      <c r="I26" s="192">
        <v>45693</v>
      </c>
      <c r="J26" s="192">
        <v>45693</v>
      </c>
      <c r="K26" s="192">
        <v>45693</v>
      </c>
      <c r="L26" s="192">
        <v>45693</v>
      </c>
      <c r="M26" s="192">
        <v>45693</v>
      </c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</row>
    <row r="27" spans="1:26" hidden="1" x14ac:dyDescent="0.3">
      <c r="A27" s="18" t="s">
        <v>320</v>
      </c>
      <c r="B27" s="19"/>
      <c r="C27" s="19"/>
      <c r="D27" s="19"/>
      <c r="E27" s="19"/>
      <c r="F27" s="19"/>
      <c r="G27" s="19"/>
      <c r="H27" s="19"/>
      <c r="I27" s="76" t="e">
        <f>'S. Contractuelle'!#REF!-(I18+I24)</f>
        <v>#REF!</v>
      </c>
      <c r="J27" s="19"/>
      <c r="K27" s="19"/>
      <c r="L27" s="19"/>
      <c r="M27" s="19"/>
    </row>
    <row r="28" spans="1:26" hidden="1" x14ac:dyDescent="0.3">
      <c r="A28" s="18" t="s">
        <v>321</v>
      </c>
      <c r="B28" s="19"/>
      <c r="C28" s="19"/>
      <c r="D28" s="19"/>
      <c r="E28" s="19"/>
      <c r="F28" s="19"/>
      <c r="G28" s="19"/>
      <c r="H28" s="19">
        <v>0.41151005122769846</v>
      </c>
      <c r="I28" s="76" t="e">
        <f>'S. Contractuelle'!#REF!-(I19+I25)</f>
        <v>#REF!</v>
      </c>
      <c r="J28" s="19"/>
      <c r="K28" s="19"/>
      <c r="L28" s="19"/>
      <c r="M28" s="19"/>
    </row>
    <row r="29" spans="1:26" hidden="1" x14ac:dyDescent="0.3">
      <c r="A29" s="18" t="s">
        <v>322</v>
      </c>
      <c r="B29" s="19"/>
      <c r="C29" s="19"/>
      <c r="D29" s="19"/>
      <c r="E29" s="19"/>
      <c r="F29" s="19"/>
      <c r="G29" s="19"/>
      <c r="H29" s="19">
        <v>511428.00020659552</v>
      </c>
      <c r="I29" s="76" t="e">
        <f>'S. Contractuelle'!#REF!-(I20+I27)</f>
        <v>#REF!</v>
      </c>
      <c r="J29" s="19"/>
      <c r="K29" s="19"/>
      <c r="L29" s="19"/>
      <c r="M29" s="19"/>
    </row>
    <row r="30" spans="1:26" hidden="1" x14ac:dyDescent="0.3">
      <c r="A30" s="18" t="s">
        <v>323</v>
      </c>
      <c r="B30" s="19"/>
      <c r="C30" s="19"/>
      <c r="D30" s="19"/>
      <c r="E30" s="19"/>
      <c r="F30" s="19"/>
      <c r="G30" s="19"/>
      <c r="H30" s="19"/>
      <c r="I30" s="76" t="e">
        <f>'S. Contractuelle'!#REF!-(I21+I28)</f>
        <v>#REF!</v>
      </c>
      <c r="J30" s="19"/>
      <c r="K30" s="19"/>
      <c r="L30" s="19"/>
      <c r="M30" s="19"/>
    </row>
    <row r="35" spans="7:7" x14ac:dyDescent="0.3">
      <c r="G35" s="109"/>
    </row>
  </sheetData>
  <phoneticPr fontId="10" type="noConversion"/>
  <hyperlinks>
    <hyperlink ref="A2" location="Dashboard!A1" display="Tableau de bord" xr:uid="{9E185FEF-F25D-5E42-AE69-CCCD2E702E6A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6145-91E8-4926-9CCF-06789B46D602}">
  <dimension ref="A1:E32"/>
  <sheetViews>
    <sheetView showGridLines="0" workbookViewId="0">
      <selection activeCell="A29" sqref="A29:E32"/>
    </sheetView>
  </sheetViews>
  <sheetFormatPr defaultColWidth="11.44140625" defaultRowHeight="14.4" x14ac:dyDescent="0.3"/>
  <cols>
    <col min="1" max="1" width="18.44140625" bestFit="1" customWidth="1"/>
    <col min="2" max="2" width="18.6640625" bestFit="1" customWidth="1"/>
    <col min="3" max="4" width="18.6640625" customWidth="1"/>
    <col min="5" max="5" width="17" customWidth="1"/>
  </cols>
  <sheetData>
    <row r="1" spans="1:5" ht="29.7" customHeight="1" x14ac:dyDescent="0.3">
      <c r="A1" s="674" t="s">
        <v>324</v>
      </c>
      <c r="B1" s="675"/>
      <c r="C1" s="675"/>
      <c r="D1" s="675"/>
      <c r="E1" s="675"/>
    </row>
    <row r="2" spans="1:5" x14ac:dyDescent="0.3">
      <c r="A2" s="284" t="s">
        <v>325</v>
      </c>
      <c r="B2" s="284" t="s">
        <v>326</v>
      </c>
      <c r="C2" s="284" t="s">
        <v>327</v>
      </c>
      <c r="D2" s="284" t="s">
        <v>328</v>
      </c>
      <c r="E2" s="285" t="s">
        <v>329</v>
      </c>
    </row>
    <row r="3" spans="1:5" x14ac:dyDescent="0.3">
      <c r="A3" s="283"/>
      <c r="B3" s="283"/>
      <c r="C3" s="286"/>
      <c r="D3" s="286"/>
      <c r="E3" s="287"/>
    </row>
    <row r="4" spans="1:5" x14ac:dyDescent="0.3">
      <c r="A4" s="283"/>
      <c r="B4" s="283"/>
      <c r="C4" s="286"/>
      <c r="D4" s="286"/>
      <c r="E4" s="287"/>
    </row>
    <row r="5" spans="1:5" x14ac:dyDescent="0.3">
      <c r="A5" s="283"/>
      <c r="B5" s="283"/>
      <c r="C5" s="286"/>
      <c r="D5" s="286"/>
      <c r="E5" s="287"/>
    </row>
    <row r="6" spans="1:5" x14ac:dyDescent="0.3">
      <c r="A6" s="283"/>
      <c r="B6" s="283"/>
      <c r="C6" s="286"/>
      <c r="D6" s="286"/>
      <c r="E6" s="287"/>
    </row>
    <row r="7" spans="1:5" x14ac:dyDescent="0.3">
      <c r="A7" s="283"/>
      <c r="B7" s="283"/>
      <c r="C7" s="286"/>
      <c r="D7" s="286"/>
      <c r="E7" s="287"/>
    </row>
    <row r="8" spans="1:5" x14ac:dyDescent="0.3">
      <c r="A8" s="283"/>
      <c r="B8" s="283"/>
      <c r="C8" s="286"/>
      <c r="D8" s="286"/>
      <c r="E8" s="287"/>
    </row>
    <row r="9" spans="1:5" x14ac:dyDescent="0.3">
      <c r="A9" s="283"/>
      <c r="B9" s="283"/>
      <c r="C9" s="286"/>
      <c r="D9" s="286"/>
      <c r="E9" s="287"/>
    </row>
    <row r="10" spans="1:5" x14ac:dyDescent="0.3">
      <c r="A10" s="283"/>
      <c r="B10" s="283"/>
      <c r="C10" s="286"/>
      <c r="D10" s="286"/>
      <c r="E10" s="287"/>
    </row>
    <row r="11" spans="1:5" x14ac:dyDescent="0.3">
      <c r="A11" s="283"/>
      <c r="B11" s="283"/>
      <c r="C11" s="286"/>
      <c r="D11" s="286"/>
      <c r="E11" s="287"/>
    </row>
    <row r="12" spans="1:5" x14ac:dyDescent="0.3">
      <c r="A12" s="283"/>
      <c r="B12" s="283"/>
      <c r="C12" s="286"/>
      <c r="D12" s="286"/>
      <c r="E12" s="287"/>
    </row>
    <row r="13" spans="1:5" x14ac:dyDescent="0.3">
      <c r="A13" s="283"/>
      <c r="B13" s="283"/>
      <c r="C13" s="286"/>
      <c r="D13" s="286"/>
      <c r="E13" s="287"/>
    </row>
    <row r="14" spans="1:5" x14ac:dyDescent="0.3">
      <c r="A14" s="283"/>
      <c r="B14" s="283"/>
      <c r="C14" s="286"/>
      <c r="D14" s="286"/>
      <c r="E14" s="287"/>
    </row>
    <row r="17" spans="1:5" ht="29.7" customHeight="1" x14ac:dyDescent="0.3">
      <c r="A17" s="674" t="s">
        <v>25</v>
      </c>
      <c r="B17" s="675"/>
      <c r="C17" s="675"/>
      <c r="D17" s="675"/>
      <c r="E17" s="675"/>
    </row>
    <row r="18" spans="1:5" x14ac:dyDescent="0.3">
      <c r="A18" s="284" t="s">
        <v>330</v>
      </c>
      <c r="B18" s="676" t="s">
        <v>331</v>
      </c>
      <c r="C18" s="677"/>
      <c r="D18" s="678" t="s">
        <v>332</v>
      </c>
      <c r="E18" s="679"/>
    </row>
    <row r="19" spans="1:5" x14ac:dyDescent="0.3">
      <c r="A19" s="283"/>
      <c r="B19" s="680"/>
      <c r="C19" s="681"/>
      <c r="D19" s="682"/>
      <c r="E19" s="683"/>
    </row>
    <row r="20" spans="1:5" x14ac:dyDescent="0.3">
      <c r="A20" s="283"/>
      <c r="B20" s="680"/>
      <c r="C20" s="681"/>
      <c r="D20" s="682"/>
      <c r="E20" s="683"/>
    </row>
    <row r="21" spans="1:5" x14ac:dyDescent="0.3">
      <c r="A21" s="283"/>
      <c r="B21" s="680"/>
      <c r="C21" s="681"/>
      <c r="D21" s="682"/>
      <c r="E21" s="683"/>
    </row>
    <row r="22" spans="1:5" x14ac:dyDescent="0.3">
      <c r="A22" s="283"/>
      <c r="B22" s="680"/>
      <c r="C22" s="681"/>
      <c r="D22" s="682"/>
      <c r="E22" s="683"/>
    </row>
    <row r="23" spans="1:5" ht="29.7" customHeight="1" x14ac:dyDescent="0.3">
      <c r="A23" s="674" t="s">
        <v>333</v>
      </c>
      <c r="B23" s="675"/>
      <c r="C23" s="675"/>
      <c r="D23" s="675"/>
      <c r="E23" s="675"/>
    </row>
    <row r="24" spans="1:5" x14ac:dyDescent="0.3">
      <c r="A24" s="284" t="s">
        <v>330</v>
      </c>
      <c r="B24" s="676" t="s">
        <v>331</v>
      </c>
      <c r="C24" s="677"/>
      <c r="D24" s="678" t="s">
        <v>332</v>
      </c>
      <c r="E24" s="679"/>
    </row>
    <row r="25" spans="1:5" x14ac:dyDescent="0.3">
      <c r="A25" s="283"/>
      <c r="B25" s="680"/>
      <c r="C25" s="681"/>
      <c r="D25" s="682"/>
      <c r="E25" s="683"/>
    </row>
    <row r="26" spans="1:5" x14ac:dyDescent="0.3">
      <c r="A26" s="283"/>
      <c r="B26" s="680"/>
      <c r="C26" s="681"/>
      <c r="D26" s="682"/>
      <c r="E26" s="683"/>
    </row>
    <row r="27" spans="1:5" x14ac:dyDescent="0.3">
      <c r="A27" s="283"/>
      <c r="B27" s="680"/>
      <c r="C27" s="681"/>
      <c r="D27" s="682"/>
      <c r="E27" s="683"/>
    </row>
    <row r="28" spans="1:5" ht="29.7" customHeight="1" x14ac:dyDescent="0.3">
      <c r="A28" s="666" t="s">
        <v>334</v>
      </c>
      <c r="B28" s="684"/>
      <c r="C28" s="684"/>
      <c r="D28" s="684"/>
      <c r="E28" s="684"/>
    </row>
    <row r="29" spans="1:5" x14ac:dyDescent="0.3">
      <c r="A29" s="284" t="s">
        <v>330</v>
      </c>
      <c r="B29" s="676" t="s">
        <v>331</v>
      </c>
      <c r="C29" s="677"/>
      <c r="D29" s="678" t="s">
        <v>332</v>
      </c>
      <c r="E29" s="679"/>
    </row>
    <row r="30" spans="1:5" x14ac:dyDescent="0.3">
      <c r="A30" s="283"/>
      <c r="B30" s="680"/>
      <c r="C30" s="681"/>
      <c r="D30" s="682"/>
      <c r="E30" s="683"/>
    </row>
    <row r="31" spans="1:5" x14ac:dyDescent="0.3">
      <c r="A31" s="283"/>
      <c r="B31" s="680"/>
      <c r="C31" s="681"/>
      <c r="D31" s="682"/>
      <c r="E31" s="683"/>
    </row>
    <row r="32" spans="1:5" x14ac:dyDescent="0.3">
      <c r="A32" s="283"/>
      <c r="B32" s="680"/>
      <c r="C32" s="681"/>
      <c r="D32" s="682"/>
      <c r="E32" s="683"/>
    </row>
  </sheetData>
  <mergeCells count="30">
    <mergeCell ref="B31:C31"/>
    <mergeCell ref="D31:E31"/>
    <mergeCell ref="B32:C32"/>
    <mergeCell ref="D32:E32"/>
    <mergeCell ref="B27:C27"/>
    <mergeCell ref="D27:E27"/>
    <mergeCell ref="A28:E28"/>
    <mergeCell ref="B29:C29"/>
    <mergeCell ref="D29:E29"/>
    <mergeCell ref="B30:C30"/>
    <mergeCell ref="D30:E30"/>
    <mergeCell ref="B26:C26"/>
    <mergeCell ref="D26:E26"/>
    <mergeCell ref="B20:C20"/>
    <mergeCell ref="D20:E20"/>
    <mergeCell ref="B21:C21"/>
    <mergeCell ref="D21:E21"/>
    <mergeCell ref="B22:C22"/>
    <mergeCell ref="D22:E22"/>
    <mergeCell ref="A23:E23"/>
    <mergeCell ref="B24:C24"/>
    <mergeCell ref="D24:E24"/>
    <mergeCell ref="B25:C25"/>
    <mergeCell ref="D25:E25"/>
    <mergeCell ref="A1:E1"/>
    <mergeCell ref="A17:E17"/>
    <mergeCell ref="B18:C18"/>
    <mergeCell ref="D18:E18"/>
    <mergeCell ref="B19:C19"/>
    <mergeCell ref="D19:E1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F505-9839-4425-8DAE-6F75F0AD8BBF}">
  <sheetPr>
    <tabColor rgb="FFFFFF00"/>
  </sheetPr>
  <dimension ref="A1:AF86"/>
  <sheetViews>
    <sheetView topLeftCell="C1" workbookViewId="0">
      <pane xSplit="1" ySplit="2" topLeftCell="W46" activePane="bottomRight" state="frozen"/>
      <selection pane="topRight" activeCell="D1" sqref="D1"/>
      <selection pane="bottomLeft" activeCell="C2" sqref="C2"/>
      <selection pane="bottomRight" activeCell="G7" sqref="G7"/>
    </sheetView>
  </sheetViews>
  <sheetFormatPr defaultColWidth="11.44140625" defaultRowHeight="14.4" x14ac:dyDescent="0.3"/>
  <cols>
    <col min="1" max="1" width="13.44140625" customWidth="1"/>
    <col min="2" max="2" width="3.6640625" bestFit="1" customWidth="1"/>
    <col min="3" max="3" width="51.44140625" customWidth="1"/>
    <col min="4" max="4" width="25.44140625" bestFit="1" customWidth="1"/>
    <col min="6" max="6" width="23.44140625" customWidth="1"/>
    <col min="7" max="7" width="15.6640625" customWidth="1"/>
    <col min="9" max="9" width="14.6640625" customWidth="1"/>
  </cols>
  <sheetData>
    <row r="1" spans="1:32" ht="16.2" thickBot="1" x14ac:dyDescent="0.35">
      <c r="C1" s="383" t="s">
        <v>4</v>
      </c>
    </row>
    <row r="2" spans="1:32" ht="15.6" thickBot="1" x14ac:dyDescent="0.35">
      <c r="A2" s="452" t="s">
        <v>335</v>
      </c>
      <c r="B2" s="464" t="s">
        <v>100</v>
      </c>
      <c r="C2" s="465" t="s">
        <v>336</v>
      </c>
      <c r="D2" s="465" t="s">
        <v>337</v>
      </c>
      <c r="E2" s="465" t="s">
        <v>338</v>
      </c>
      <c r="F2" s="465" t="s">
        <v>339</v>
      </c>
      <c r="G2" s="466" t="s">
        <v>340</v>
      </c>
      <c r="H2" s="113">
        <v>45323</v>
      </c>
      <c r="I2" s="113">
        <v>45352</v>
      </c>
      <c r="J2" s="113">
        <v>45383</v>
      </c>
      <c r="K2" s="113">
        <v>45413</v>
      </c>
      <c r="L2" s="113">
        <v>45444</v>
      </c>
      <c r="M2" s="113">
        <v>45474</v>
      </c>
      <c r="N2" s="113">
        <v>45505</v>
      </c>
      <c r="O2" s="113">
        <v>45536</v>
      </c>
      <c r="P2" s="113">
        <v>45566</v>
      </c>
      <c r="Q2" s="113">
        <v>45597</v>
      </c>
      <c r="R2" s="113">
        <v>45627</v>
      </c>
      <c r="S2" s="113">
        <v>45658</v>
      </c>
      <c r="T2" s="113">
        <v>45689</v>
      </c>
      <c r="U2" s="113">
        <v>45717</v>
      </c>
      <c r="V2" s="113">
        <v>45748</v>
      </c>
      <c r="W2" s="113">
        <v>45778</v>
      </c>
      <c r="X2" s="113">
        <v>45809</v>
      </c>
      <c r="Y2" s="113">
        <v>45839</v>
      </c>
      <c r="Z2" s="113">
        <v>45870</v>
      </c>
      <c r="AA2" s="113">
        <v>45901</v>
      </c>
      <c r="AB2" s="113">
        <v>45931</v>
      </c>
      <c r="AC2" s="113">
        <v>45962</v>
      </c>
      <c r="AD2" s="113">
        <v>45992</v>
      </c>
      <c r="AE2" s="113">
        <v>46023</v>
      </c>
      <c r="AF2" s="113">
        <v>46054</v>
      </c>
    </row>
    <row r="3" spans="1:32" ht="15" x14ac:dyDescent="0.3">
      <c r="A3" s="695" t="s">
        <v>293</v>
      </c>
      <c r="B3" s="460">
        <v>1</v>
      </c>
      <c r="C3" s="461" t="s">
        <v>341</v>
      </c>
      <c r="D3" s="463">
        <v>45348</v>
      </c>
      <c r="E3" s="457" t="s">
        <v>157</v>
      </c>
      <c r="F3" s="463">
        <v>45348</v>
      </c>
      <c r="G3" s="458">
        <v>1</v>
      </c>
      <c r="H3" s="458">
        <v>1</v>
      </c>
      <c r="I3" s="458">
        <v>1</v>
      </c>
      <c r="J3" s="458">
        <v>1</v>
      </c>
      <c r="K3" s="458">
        <v>1</v>
      </c>
      <c r="L3" s="458">
        <v>1</v>
      </c>
      <c r="M3" s="458">
        <v>1</v>
      </c>
      <c r="N3" s="458">
        <v>1</v>
      </c>
      <c r="O3" s="458">
        <v>1</v>
      </c>
      <c r="P3" s="458">
        <v>1</v>
      </c>
      <c r="Q3" s="458">
        <v>1</v>
      </c>
      <c r="R3" s="458">
        <v>1</v>
      </c>
      <c r="S3" s="458">
        <v>1</v>
      </c>
      <c r="T3" s="458">
        <v>1</v>
      </c>
      <c r="U3" s="458">
        <v>1</v>
      </c>
      <c r="V3" s="458">
        <v>1</v>
      </c>
      <c r="W3" s="458">
        <v>1</v>
      </c>
      <c r="X3" s="458">
        <v>1</v>
      </c>
      <c r="Y3" s="458">
        <v>1</v>
      </c>
      <c r="Z3" s="458">
        <v>1</v>
      </c>
      <c r="AA3" s="458">
        <v>1</v>
      </c>
      <c r="AB3" s="458">
        <v>1</v>
      </c>
      <c r="AC3" s="458">
        <v>1</v>
      </c>
      <c r="AD3" s="458">
        <v>1</v>
      </c>
      <c r="AE3" s="458">
        <v>1</v>
      </c>
      <c r="AF3" s="458">
        <v>1</v>
      </c>
    </row>
    <row r="4" spans="1:32" ht="25.5" customHeight="1" x14ac:dyDescent="0.3">
      <c r="A4" s="685"/>
      <c r="B4" s="449">
        <v>2</v>
      </c>
      <c r="C4" s="447" t="s">
        <v>342</v>
      </c>
      <c r="D4" s="453">
        <v>45348</v>
      </c>
      <c r="E4" s="451" t="s">
        <v>157</v>
      </c>
      <c r="F4" s="453">
        <v>45348</v>
      </c>
      <c r="G4" s="454">
        <v>1</v>
      </c>
      <c r="H4" s="454">
        <v>1</v>
      </c>
      <c r="I4" s="454">
        <v>1</v>
      </c>
      <c r="J4" s="454">
        <v>1</v>
      </c>
      <c r="K4" s="454">
        <v>1</v>
      </c>
      <c r="L4" s="454">
        <v>1</v>
      </c>
      <c r="M4" s="454">
        <v>1</v>
      </c>
      <c r="N4" s="454">
        <v>1</v>
      </c>
      <c r="O4" s="454">
        <v>1</v>
      </c>
      <c r="P4" s="454">
        <v>1</v>
      </c>
      <c r="Q4" s="454">
        <v>1</v>
      </c>
      <c r="R4" s="454">
        <v>1</v>
      </c>
      <c r="S4" s="454">
        <v>1</v>
      </c>
      <c r="T4" s="454">
        <v>1</v>
      </c>
      <c r="U4" s="454">
        <v>1</v>
      </c>
      <c r="V4" s="454">
        <v>1</v>
      </c>
      <c r="W4" s="454">
        <v>1</v>
      </c>
      <c r="X4" s="454">
        <v>1</v>
      </c>
      <c r="Y4" s="454">
        <v>1</v>
      </c>
      <c r="Z4" s="454">
        <v>1</v>
      </c>
      <c r="AA4" s="454">
        <v>1</v>
      </c>
      <c r="AB4" s="454">
        <v>1</v>
      </c>
      <c r="AC4" s="454">
        <v>1</v>
      </c>
      <c r="AD4" s="454">
        <v>1</v>
      </c>
      <c r="AE4" s="454">
        <v>1</v>
      </c>
      <c r="AF4" s="454">
        <v>1</v>
      </c>
    </row>
    <row r="5" spans="1:32" ht="15" x14ac:dyDescent="0.3">
      <c r="A5" s="685"/>
      <c r="B5" s="449">
        <v>3</v>
      </c>
      <c r="C5" s="447" t="s">
        <v>343</v>
      </c>
      <c r="D5" s="453">
        <v>45348</v>
      </c>
      <c r="E5" s="451" t="s">
        <v>157</v>
      </c>
      <c r="F5" s="453">
        <v>45348</v>
      </c>
      <c r="G5" s="454">
        <v>1</v>
      </c>
      <c r="H5" s="454">
        <v>1</v>
      </c>
      <c r="I5" s="454">
        <v>1</v>
      </c>
      <c r="J5" s="454">
        <v>1</v>
      </c>
      <c r="K5" s="454">
        <v>1</v>
      </c>
      <c r="L5" s="454">
        <v>1</v>
      </c>
      <c r="M5" s="454">
        <v>1</v>
      </c>
      <c r="N5" s="454">
        <v>1</v>
      </c>
      <c r="O5" s="454">
        <v>1</v>
      </c>
      <c r="P5" s="454">
        <v>1</v>
      </c>
      <c r="Q5" s="454">
        <v>1</v>
      </c>
      <c r="R5" s="454">
        <v>1</v>
      </c>
      <c r="S5" s="454">
        <v>1</v>
      </c>
      <c r="T5" s="454">
        <v>1</v>
      </c>
      <c r="U5" s="454">
        <v>1</v>
      </c>
      <c r="V5" s="454">
        <v>1</v>
      </c>
      <c r="W5" s="454">
        <v>1</v>
      </c>
      <c r="X5" s="454">
        <v>1</v>
      </c>
      <c r="Y5" s="454">
        <v>1</v>
      </c>
      <c r="Z5" s="454">
        <v>1</v>
      </c>
      <c r="AA5" s="454">
        <v>1</v>
      </c>
      <c r="AB5" s="454">
        <v>1</v>
      </c>
      <c r="AC5" s="454">
        <v>1</v>
      </c>
      <c r="AD5" s="454">
        <v>1</v>
      </c>
      <c r="AE5" s="454">
        <v>1</v>
      </c>
      <c r="AF5" s="454">
        <v>1</v>
      </c>
    </row>
    <row r="6" spans="1:32" ht="15" x14ac:dyDescent="0.3">
      <c r="A6" s="685"/>
      <c r="B6" s="449">
        <v>4</v>
      </c>
      <c r="C6" s="447" t="s">
        <v>344</v>
      </c>
      <c r="D6" s="453">
        <v>45357</v>
      </c>
      <c r="E6" s="451" t="s">
        <v>157</v>
      </c>
      <c r="F6" s="453">
        <v>45357</v>
      </c>
      <c r="G6" s="454">
        <v>1</v>
      </c>
      <c r="H6" s="454">
        <v>0</v>
      </c>
      <c r="I6" s="454">
        <v>1</v>
      </c>
      <c r="J6" s="454">
        <v>1</v>
      </c>
      <c r="K6" s="454">
        <v>1</v>
      </c>
      <c r="L6" s="454">
        <v>1</v>
      </c>
      <c r="M6" s="454">
        <v>1</v>
      </c>
      <c r="N6" s="454">
        <v>1</v>
      </c>
      <c r="O6" s="454">
        <v>1</v>
      </c>
      <c r="P6" s="454">
        <v>1</v>
      </c>
      <c r="Q6" s="454">
        <v>1</v>
      </c>
      <c r="R6" s="454">
        <v>1</v>
      </c>
      <c r="S6" s="454">
        <v>1</v>
      </c>
      <c r="T6" s="454">
        <v>1</v>
      </c>
      <c r="U6" s="454">
        <v>1</v>
      </c>
      <c r="V6" s="454">
        <v>1</v>
      </c>
      <c r="W6" s="454">
        <v>1</v>
      </c>
      <c r="X6" s="454">
        <v>1</v>
      </c>
      <c r="Y6" s="454">
        <v>1</v>
      </c>
      <c r="Z6" s="454">
        <v>1</v>
      </c>
      <c r="AA6" s="454">
        <v>1</v>
      </c>
      <c r="AB6" s="454">
        <v>1</v>
      </c>
      <c r="AC6" s="454">
        <v>1</v>
      </c>
      <c r="AD6" s="454">
        <v>1</v>
      </c>
      <c r="AE6" s="454">
        <v>1</v>
      </c>
      <c r="AF6" s="454">
        <v>1</v>
      </c>
    </row>
    <row r="7" spans="1:32" ht="15" x14ac:dyDescent="0.3">
      <c r="A7" s="685"/>
      <c r="B7" s="449">
        <v>5</v>
      </c>
      <c r="C7" s="447" t="s">
        <v>345</v>
      </c>
      <c r="D7" s="453">
        <v>45357</v>
      </c>
      <c r="E7" s="451" t="s">
        <v>157</v>
      </c>
      <c r="F7" s="453">
        <v>45357</v>
      </c>
      <c r="G7" s="454">
        <v>1</v>
      </c>
      <c r="H7" s="454">
        <v>0</v>
      </c>
      <c r="I7" s="454">
        <v>1</v>
      </c>
      <c r="J7" s="454">
        <v>1</v>
      </c>
      <c r="K7" s="454">
        <v>1</v>
      </c>
      <c r="L7" s="454">
        <v>1</v>
      </c>
      <c r="M7" s="454">
        <v>1</v>
      </c>
      <c r="N7" s="454">
        <v>1</v>
      </c>
      <c r="O7" s="454">
        <v>1</v>
      </c>
      <c r="P7" s="454">
        <v>1</v>
      </c>
      <c r="Q7" s="454">
        <v>1</v>
      </c>
      <c r="R7" s="454">
        <v>1</v>
      </c>
      <c r="S7" s="454">
        <v>1</v>
      </c>
      <c r="T7" s="454">
        <v>1</v>
      </c>
      <c r="U7" s="454">
        <v>1</v>
      </c>
      <c r="V7" s="454">
        <v>1</v>
      </c>
      <c r="W7" s="454">
        <v>1</v>
      </c>
      <c r="X7" s="454">
        <v>1</v>
      </c>
      <c r="Y7" s="454">
        <v>1</v>
      </c>
      <c r="Z7" s="454">
        <v>1</v>
      </c>
      <c r="AA7" s="454">
        <v>1</v>
      </c>
      <c r="AB7" s="454">
        <v>1</v>
      </c>
      <c r="AC7" s="454">
        <v>1</v>
      </c>
      <c r="AD7" s="454">
        <v>1</v>
      </c>
      <c r="AE7" s="454">
        <v>1</v>
      </c>
      <c r="AF7" s="454">
        <v>1</v>
      </c>
    </row>
    <row r="8" spans="1:32" ht="15" x14ac:dyDescent="0.3">
      <c r="A8" s="685"/>
      <c r="B8" s="449">
        <v>6</v>
      </c>
      <c r="C8" s="447" t="s">
        <v>346</v>
      </c>
      <c r="D8" s="453">
        <v>45357</v>
      </c>
      <c r="E8" s="451" t="s">
        <v>157</v>
      </c>
      <c r="F8" s="453">
        <v>45357</v>
      </c>
      <c r="G8" s="454">
        <v>1</v>
      </c>
      <c r="H8" s="454">
        <v>0</v>
      </c>
      <c r="I8" s="454">
        <v>1</v>
      </c>
      <c r="J8" s="454">
        <v>1</v>
      </c>
      <c r="K8" s="454">
        <v>1</v>
      </c>
      <c r="L8" s="454">
        <v>1</v>
      </c>
      <c r="M8" s="454">
        <v>1</v>
      </c>
      <c r="N8" s="454">
        <v>1</v>
      </c>
      <c r="O8" s="454">
        <v>1</v>
      </c>
      <c r="P8" s="454">
        <v>1</v>
      </c>
      <c r="Q8" s="454">
        <v>1</v>
      </c>
      <c r="R8" s="454">
        <v>1</v>
      </c>
      <c r="S8" s="454">
        <v>1</v>
      </c>
      <c r="T8" s="454">
        <v>1</v>
      </c>
      <c r="U8" s="454">
        <v>1</v>
      </c>
      <c r="V8" s="454">
        <v>1</v>
      </c>
      <c r="W8" s="454">
        <v>1</v>
      </c>
      <c r="X8" s="454">
        <v>1</v>
      </c>
      <c r="Y8" s="454">
        <v>1</v>
      </c>
      <c r="Z8" s="454">
        <v>1</v>
      </c>
      <c r="AA8" s="454">
        <v>1</v>
      </c>
      <c r="AB8" s="454">
        <v>1</v>
      </c>
      <c r="AC8" s="454">
        <v>1</v>
      </c>
      <c r="AD8" s="454">
        <v>1</v>
      </c>
      <c r="AE8" s="454">
        <v>1</v>
      </c>
      <c r="AF8" s="454">
        <v>1</v>
      </c>
    </row>
    <row r="9" spans="1:32" ht="15" x14ac:dyDescent="0.3">
      <c r="A9" s="685"/>
      <c r="B9" s="449">
        <v>7</v>
      </c>
      <c r="C9" s="447" t="s">
        <v>347</v>
      </c>
      <c r="D9" s="453">
        <v>45357</v>
      </c>
      <c r="E9" s="451" t="s">
        <v>157</v>
      </c>
      <c r="F9" s="453">
        <v>45357</v>
      </c>
      <c r="G9" s="454">
        <v>1</v>
      </c>
      <c r="H9" s="454">
        <v>0</v>
      </c>
      <c r="I9" s="454">
        <v>1</v>
      </c>
      <c r="J9" s="454">
        <v>1</v>
      </c>
      <c r="K9" s="454">
        <v>1</v>
      </c>
      <c r="L9" s="454">
        <v>1</v>
      </c>
      <c r="M9" s="454">
        <v>1</v>
      </c>
      <c r="N9" s="454">
        <v>1</v>
      </c>
      <c r="O9" s="454">
        <v>1</v>
      </c>
      <c r="P9" s="454">
        <v>1</v>
      </c>
      <c r="Q9" s="454">
        <v>1</v>
      </c>
      <c r="R9" s="454">
        <v>1</v>
      </c>
      <c r="S9" s="454">
        <v>1</v>
      </c>
      <c r="T9" s="454">
        <v>1</v>
      </c>
      <c r="U9" s="454">
        <v>1</v>
      </c>
      <c r="V9" s="454">
        <v>1</v>
      </c>
      <c r="W9" s="454">
        <v>1</v>
      </c>
      <c r="X9" s="454">
        <v>1</v>
      </c>
      <c r="Y9" s="454">
        <v>1</v>
      </c>
      <c r="Z9" s="454">
        <v>1</v>
      </c>
      <c r="AA9" s="454">
        <v>1</v>
      </c>
      <c r="AB9" s="454">
        <v>1</v>
      </c>
      <c r="AC9" s="454">
        <v>1</v>
      </c>
      <c r="AD9" s="454">
        <v>1</v>
      </c>
      <c r="AE9" s="454">
        <v>1</v>
      </c>
      <c r="AF9" s="454">
        <v>1</v>
      </c>
    </row>
    <row r="10" spans="1:32" ht="26.4" x14ac:dyDescent="0.3">
      <c r="A10" s="685"/>
      <c r="B10" s="449">
        <v>8</v>
      </c>
      <c r="C10" s="447" t="s">
        <v>348</v>
      </c>
      <c r="D10" s="453">
        <v>45342</v>
      </c>
      <c r="E10" s="451" t="s">
        <v>157</v>
      </c>
      <c r="F10" s="453">
        <v>45342</v>
      </c>
      <c r="G10" s="454">
        <v>1</v>
      </c>
      <c r="H10" s="454">
        <v>1</v>
      </c>
      <c r="I10" s="454">
        <v>1</v>
      </c>
      <c r="J10" s="454">
        <v>1</v>
      </c>
      <c r="K10" s="454">
        <v>1</v>
      </c>
      <c r="L10" s="454">
        <v>1</v>
      </c>
      <c r="M10" s="454">
        <v>1</v>
      </c>
      <c r="N10" s="454">
        <v>1</v>
      </c>
      <c r="O10" s="454">
        <v>1</v>
      </c>
      <c r="P10" s="454">
        <v>1</v>
      </c>
      <c r="Q10" s="454">
        <v>1</v>
      </c>
      <c r="R10" s="454">
        <v>1</v>
      </c>
      <c r="S10" s="454">
        <v>1</v>
      </c>
      <c r="T10" s="454">
        <v>1</v>
      </c>
      <c r="U10" s="454">
        <v>1</v>
      </c>
      <c r="V10" s="454">
        <v>1</v>
      </c>
      <c r="W10" s="454">
        <v>1</v>
      </c>
      <c r="X10" s="454">
        <v>1</v>
      </c>
      <c r="Y10" s="454">
        <v>1</v>
      </c>
      <c r="Z10" s="454">
        <v>1</v>
      </c>
      <c r="AA10" s="454">
        <v>1</v>
      </c>
      <c r="AB10" s="454">
        <v>1</v>
      </c>
      <c r="AC10" s="454">
        <v>1</v>
      </c>
      <c r="AD10" s="454">
        <v>1</v>
      </c>
      <c r="AE10" s="454">
        <v>1</v>
      </c>
      <c r="AF10" s="454">
        <v>1</v>
      </c>
    </row>
    <row r="11" spans="1:32" ht="15.6" thickBot="1" x14ac:dyDescent="0.35">
      <c r="A11" s="685"/>
      <c r="B11" s="450">
        <v>9</v>
      </c>
      <c r="C11" s="459" t="s">
        <v>349</v>
      </c>
      <c r="D11" s="462">
        <v>45357</v>
      </c>
      <c r="E11" s="455" t="s">
        <v>157</v>
      </c>
      <c r="F11" s="462">
        <v>45357</v>
      </c>
      <c r="G11" s="456">
        <v>1</v>
      </c>
      <c r="H11" s="456">
        <v>0</v>
      </c>
      <c r="I11" s="456">
        <v>1</v>
      </c>
      <c r="J11" s="456">
        <v>1</v>
      </c>
      <c r="K11" s="456">
        <v>1</v>
      </c>
      <c r="L11" s="456">
        <v>1</v>
      </c>
      <c r="M11" s="456">
        <v>1</v>
      </c>
      <c r="N11" s="456">
        <v>1</v>
      </c>
      <c r="O11" s="456">
        <v>1</v>
      </c>
      <c r="P11" s="456">
        <v>1</v>
      </c>
      <c r="Q11" s="456">
        <v>1</v>
      </c>
      <c r="R11" s="456">
        <v>1</v>
      </c>
      <c r="S11" s="456">
        <v>1</v>
      </c>
      <c r="T11" s="456">
        <v>1</v>
      </c>
      <c r="U11" s="456">
        <v>1</v>
      </c>
      <c r="V11" s="456">
        <v>1</v>
      </c>
      <c r="W11" s="456">
        <v>1</v>
      </c>
      <c r="X11" s="456">
        <v>1</v>
      </c>
      <c r="Y11" s="456">
        <v>1</v>
      </c>
      <c r="Z11" s="456">
        <v>1</v>
      </c>
      <c r="AA11" s="456">
        <v>1</v>
      </c>
      <c r="AB11" s="456">
        <v>1</v>
      </c>
      <c r="AC11" s="456">
        <v>1</v>
      </c>
      <c r="AD11" s="456">
        <v>1</v>
      </c>
      <c r="AE11" s="456">
        <v>1</v>
      </c>
      <c r="AF11" s="456">
        <v>1</v>
      </c>
    </row>
    <row r="12" spans="1:32" ht="15" x14ac:dyDescent="0.3">
      <c r="A12" s="685" t="s">
        <v>294</v>
      </c>
      <c r="B12" s="460">
        <v>10</v>
      </c>
      <c r="C12" s="461" t="s">
        <v>350</v>
      </c>
      <c r="D12" s="463">
        <v>45366</v>
      </c>
      <c r="E12" s="457" t="s">
        <v>157</v>
      </c>
      <c r="F12" s="463">
        <v>45366</v>
      </c>
      <c r="G12" s="458">
        <v>1</v>
      </c>
      <c r="H12" s="575">
        <v>0</v>
      </c>
      <c r="I12" s="458">
        <v>1</v>
      </c>
      <c r="J12" s="458">
        <v>1</v>
      </c>
      <c r="K12" s="458">
        <v>1</v>
      </c>
      <c r="L12" s="458">
        <v>1</v>
      </c>
      <c r="M12" s="458">
        <v>1</v>
      </c>
      <c r="N12" s="458">
        <v>1</v>
      </c>
      <c r="O12" s="458">
        <v>1</v>
      </c>
      <c r="P12" s="458">
        <v>1</v>
      </c>
      <c r="Q12" s="458">
        <v>1</v>
      </c>
      <c r="R12" s="458">
        <v>1</v>
      </c>
      <c r="S12" s="458">
        <v>1</v>
      </c>
      <c r="T12" s="458">
        <v>1</v>
      </c>
      <c r="U12" s="458">
        <v>1</v>
      </c>
      <c r="V12" s="458">
        <v>1</v>
      </c>
      <c r="W12" s="458">
        <v>1</v>
      </c>
      <c r="X12" s="458">
        <v>1</v>
      </c>
      <c r="Y12" s="458">
        <v>1</v>
      </c>
      <c r="Z12" s="458">
        <v>1</v>
      </c>
      <c r="AA12" s="458">
        <v>1</v>
      </c>
      <c r="AB12" s="458">
        <v>1</v>
      </c>
      <c r="AC12" s="458">
        <v>1</v>
      </c>
      <c r="AD12" s="458">
        <v>1</v>
      </c>
      <c r="AE12" s="458">
        <v>1</v>
      </c>
      <c r="AF12" s="458">
        <v>1</v>
      </c>
    </row>
    <row r="13" spans="1:32" ht="15" x14ac:dyDescent="0.3">
      <c r="A13" s="685"/>
      <c r="B13" s="449">
        <v>11</v>
      </c>
      <c r="C13" s="447" t="s">
        <v>351</v>
      </c>
      <c r="D13" s="453">
        <v>45366</v>
      </c>
      <c r="E13" s="451" t="s">
        <v>157</v>
      </c>
      <c r="F13" s="453">
        <v>45366</v>
      </c>
      <c r="G13" s="454">
        <v>1</v>
      </c>
      <c r="H13" s="575">
        <v>0</v>
      </c>
      <c r="I13" s="454">
        <v>1</v>
      </c>
      <c r="J13" s="454">
        <v>1</v>
      </c>
      <c r="K13" s="454">
        <v>1</v>
      </c>
      <c r="L13" s="454">
        <v>1</v>
      </c>
      <c r="M13" s="454">
        <v>1</v>
      </c>
      <c r="N13" s="454">
        <v>1</v>
      </c>
      <c r="O13" s="454">
        <v>1</v>
      </c>
      <c r="P13" s="454">
        <v>1</v>
      </c>
      <c r="Q13" s="454">
        <v>1</v>
      </c>
      <c r="R13" s="454">
        <v>1</v>
      </c>
      <c r="S13" s="454">
        <v>1</v>
      </c>
      <c r="T13" s="454">
        <v>1</v>
      </c>
      <c r="U13" s="454">
        <v>1</v>
      </c>
      <c r="V13" s="454">
        <v>1</v>
      </c>
      <c r="W13" s="454">
        <v>1</v>
      </c>
      <c r="X13" s="454">
        <v>1</v>
      </c>
      <c r="Y13" s="454">
        <v>1</v>
      </c>
      <c r="Z13" s="454">
        <v>1</v>
      </c>
      <c r="AA13" s="454">
        <v>1</v>
      </c>
      <c r="AB13" s="454">
        <v>1</v>
      </c>
      <c r="AC13" s="454">
        <v>1</v>
      </c>
      <c r="AD13" s="454">
        <v>1</v>
      </c>
      <c r="AE13" s="454">
        <v>1</v>
      </c>
      <c r="AF13" s="454">
        <v>1</v>
      </c>
    </row>
    <row r="14" spans="1:32" ht="15" x14ac:dyDescent="0.3">
      <c r="A14" s="685"/>
      <c r="B14" s="449">
        <v>12</v>
      </c>
      <c r="C14" s="447" t="s">
        <v>352</v>
      </c>
      <c r="D14" s="453">
        <v>45366</v>
      </c>
      <c r="E14" s="451" t="s">
        <v>157</v>
      </c>
      <c r="F14" s="453">
        <v>45366</v>
      </c>
      <c r="G14" s="454">
        <v>1</v>
      </c>
      <c r="H14" s="575">
        <v>0</v>
      </c>
      <c r="I14" s="454">
        <v>1</v>
      </c>
      <c r="J14" s="454">
        <v>1</v>
      </c>
      <c r="K14" s="454">
        <v>1</v>
      </c>
      <c r="L14" s="454">
        <v>1</v>
      </c>
      <c r="M14" s="454">
        <v>1</v>
      </c>
      <c r="N14" s="454">
        <v>1</v>
      </c>
      <c r="O14" s="454">
        <v>1</v>
      </c>
      <c r="P14" s="454">
        <v>1</v>
      </c>
      <c r="Q14" s="454">
        <v>1</v>
      </c>
      <c r="R14" s="454">
        <v>1</v>
      </c>
      <c r="S14" s="454">
        <v>1</v>
      </c>
      <c r="T14" s="454">
        <v>1</v>
      </c>
      <c r="U14" s="454">
        <v>1</v>
      </c>
      <c r="V14" s="454">
        <v>1</v>
      </c>
      <c r="W14" s="454">
        <v>1</v>
      </c>
      <c r="X14" s="454">
        <v>1</v>
      </c>
      <c r="Y14" s="454">
        <v>1</v>
      </c>
      <c r="Z14" s="454">
        <v>1</v>
      </c>
      <c r="AA14" s="454">
        <v>1</v>
      </c>
      <c r="AB14" s="454">
        <v>1</v>
      </c>
      <c r="AC14" s="454">
        <v>1</v>
      </c>
      <c r="AD14" s="454">
        <v>1</v>
      </c>
      <c r="AE14" s="454">
        <v>1</v>
      </c>
      <c r="AF14" s="454">
        <v>1</v>
      </c>
    </row>
    <row r="15" spans="1:32" ht="15" x14ac:dyDescent="0.3">
      <c r="A15" s="685"/>
      <c r="B15" s="449">
        <v>13</v>
      </c>
      <c r="C15" s="447" t="s">
        <v>353</v>
      </c>
      <c r="D15" s="453">
        <v>45388</v>
      </c>
      <c r="E15" s="451" t="s">
        <v>157</v>
      </c>
      <c r="F15" s="453">
        <v>45388</v>
      </c>
      <c r="G15" s="454">
        <v>1</v>
      </c>
      <c r="H15" s="575">
        <v>0</v>
      </c>
      <c r="I15" s="575">
        <v>0</v>
      </c>
      <c r="J15" s="454">
        <v>1</v>
      </c>
      <c r="K15" s="454">
        <v>1</v>
      </c>
      <c r="L15" s="454">
        <v>1</v>
      </c>
      <c r="M15" s="454">
        <v>1</v>
      </c>
      <c r="N15" s="454">
        <v>1</v>
      </c>
      <c r="O15" s="454">
        <v>1</v>
      </c>
      <c r="P15" s="454">
        <v>1</v>
      </c>
      <c r="Q15" s="454">
        <v>1</v>
      </c>
      <c r="R15" s="454">
        <v>1</v>
      </c>
      <c r="S15" s="454">
        <v>1</v>
      </c>
      <c r="T15" s="454">
        <v>1</v>
      </c>
      <c r="U15" s="454">
        <v>1</v>
      </c>
      <c r="V15" s="454">
        <v>1</v>
      </c>
      <c r="W15" s="454">
        <v>1</v>
      </c>
      <c r="X15" s="454">
        <v>1</v>
      </c>
      <c r="Y15" s="454">
        <v>1</v>
      </c>
      <c r="Z15" s="454">
        <v>1</v>
      </c>
      <c r="AA15" s="454">
        <v>1</v>
      </c>
      <c r="AB15" s="454">
        <v>1</v>
      </c>
      <c r="AC15" s="454">
        <v>1</v>
      </c>
      <c r="AD15" s="454">
        <v>1</v>
      </c>
      <c r="AE15" s="454">
        <v>1</v>
      </c>
      <c r="AF15" s="454">
        <v>1</v>
      </c>
    </row>
    <row r="16" spans="1:32" ht="15" x14ac:dyDescent="0.3">
      <c r="A16" s="685"/>
      <c r="B16" s="449">
        <v>14</v>
      </c>
      <c r="C16" s="447" t="s">
        <v>354</v>
      </c>
      <c r="D16" s="453">
        <v>45388</v>
      </c>
      <c r="E16" s="451" t="s">
        <v>157</v>
      </c>
      <c r="F16" s="453">
        <v>45388</v>
      </c>
      <c r="G16" s="454">
        <v>1</v>
      </c>
      <c r="H16" s="575">
        <v>0</v>
      </c>
      <c r="I16" s="575">
        <v>0</v>
      </c>
      <c r="J16" s="454">
        <v>1</v>
      </c>
      <c r="K16" s="454">
        <v>1</v>
      </c>
      <c r="L16" s="454">
        <v>1</v>
      </c>
      <c r="M16" s="454">
        <v>1</v>
      </c>
      <c r="N16" s="454">
        <v>1</v>
      </c>
      <c r="O16" s="454">
        <v>1</v>
      </c>
      <c r="P16" s="454">
        <v>1</v>
      </c>
      <c r="Q16" s="454">
        <v>1</v>
      </c>
      <c r="R16" s="454">
        <v>1</v>
      </c>
      <c r="S16" s="454">
        <v>1</v>
      </c>
      <c r="T16" s="454">
        <v>1</v>
      </c>
      <c r="U16" s="454">
        <v>1</v>
      </c>
      <c r="V16" s="454">
        <v>1</v>
      </c>
      <c r="W16" s="454">
        <v>1</v>
      </c>
      <c r="X16" s="454">
        <v>1</v>
      </c>
      <c r="Y16" s="454">
        <v>1</v>
      </c>
      <c r="Z16" s="454">
        <v>1</v>
      </c>
      <c r="AA16" s="454">
        <v>1</v>
      </c>
      <c r="AB16" s="454">
        <v>1</v>
      </c>
      <c r="AC16" s="454">
        <v>1</v>
      </c>
      <c r="AD16" s="454">
        <v>1</v>
      </c>
      <c r="AE16" s="454">
        <v>1</v>
      </c>
      <c r="AF16" s="454">
        <v>1</v>
      </c>
    </row>
    <row r="17" spans="1:32" ht="15.6" thickBot="1" x14ac:dyDescent="0.35">
      <c r="A17" s="685"/>
      <c r="B17" s="450">
        <v>15</v>
      </c>
      <c r="C17" s="459" t="s">
        <v>355</v>
      </c>
      <c r="D17" s="462">
        <v>45388</v>
      </c>
      <c r="E17" s="455" t="s">
        <v>157</v>
      </c>
      <c r="F17" s="462">
        <v>45388</v>
      </c>
      <c r="G17" s="456">
        <v>1</v>
      </c>
      <c r="H17" s="612">
        <v>0</v>
      </c>
      <c r="I17" s="613">
        <v>0</v>
      </c>
      <c r="J17" s="456">
        <v>1</v>
      </c>
      <c r="K17" s="456">
        <v>1</v>
      </c>
      <c r="L17" s="456">
        <v>1</v>
      </c>
      <c r="M17" s="456">
        <v>1</v>
      </c>
      <c r="N17" s="456">
        <v>1</v>
      </c>
      <c r="O17" s="456">
        <v>1</v>
      </c>
      <c r="P17" s="456">
        <v>1</v>
      </c>
      <c r="Q17" s="456">
        <v>1</v>
      </c>
      <c r="R17" s="456">
        <v>1</v>
      </c>
      <c r="S17" s="456">
        <v>1</v>
      </c>
      <c r="T17" s="456">
        <v>1</v>
      </c>
      <c r="U17" s="456">
        <v>1</v>
      </c>
      <c r="V17" s="456">
        <v>1</v>
      </c>
      <c r="W17" s="456">
        <v>1</v>
      </c>
      <c r="X17" s="456">
        <v>1</v>
      </c>
      <c r="Y17" s="456">
        <v>1</v>
      </c>
      <c r="Z17" s="456">
        <v>1</v>
      </c>
      <c r="AA17" s="456">
        <v>1</v>
      </c>
      <c r="AB17" s="456">
        <v>1</v>
      </c>
      <c r="AC17" s="456">
        <v>1</v>
      </c>
      <c r="AD17" s="456">
        <v>1</v>
      </c>
      <c r="AE17" s="456">
        <v>1</v>
      </c>
      <c r="AF17" s="456">
        <v>1</v>
      </c>
    </row>
    <row r="18" spans="1:32" ht="15" x14ac:dyDescent="0.3">
      <c r="A18" s="685" t="s">
        <v>295</v>
      </c>
      <c r="B18" s="460">
        <v>16</v>
      </c>
      <c r="C18" s="461" t="s">
        <v>356</v>
      </c>
      <c r="D18" s="463">
        <v>45398</v>
      </c>
      <c r="E18" s="457" t="s">
        <v>157</v>
      </c>
      <c r="F18" s="463">
        <v>45398</v>
      </c>
      <c r="G18" s="458">
        <v>1</v>
      </c>
      <c r="H18" s="575">
        <v>0</v>
      </c>
      <c r="I18" s="575">
        <v>0</v>
      </c>
      <c r="J18" s="458">
        <v>1</v>
      </c>
      <c r="K18" s="458">
        <v>1</v>
      </c>
      <c r="L18" s="458">
        <v>1</v>
      </c>
      <c r="M18" s="458">
        <v>1</v>
      </c>
      <c r="N18" s="458">
        <v>1</v>
      </c>
      <c r="O18" s="458">
        <v>1</v>
      </c>
      <c r="P18" s="458">
        <v>1</v>
      </c>
      <c r="Q18" s="458">
        <v>1</v>
      </c>
      <c r="R18" s="458">
        <v>1</v>
      </c>
      <c r="S18" s="458">
        <v>1</v>
      </c>
      <c r="T18" s="458">
        <v>1</v>
      </c>
      <c r="U18" s="458">
        <v>1</v>
      </c>
      <c r="V18" s="458">
        <v>1</v>
      </c>
      <c r="W18" s="458">
        <v>1</v>
      </c>
      <c r="X18" s="458">
        <v>1</v>
      </c>
      <c r="Y18" s="458">
        <v>1</v>
      </c>
      <c r="Z18" s="458">
        <v>1</v>
      </c>
      <c r="AA18" s="458">
        <v>1</v>
      </c>
      <c r="AB18" s="458">
        <v>1</v>
      </c>
      <c r="AC18" s="458">
        <v>1</v>
      </c>
      <c r="AD18" s="458">
        <v>1</v>
      </c>
      <c r="AE18" s="458">
        <v>1</v>
      </c>
      <c r="AF18" s="458">
        <v>1</v>
      </c>
    </row>
    <row r="19" spans="1:32" ht="15" x14ac:dyDescent="0.3">
      <c r="A19" s="685"/>
      <c r="B19" s="449">
        <v>17</v>
      </c>
      <c r="C19" s="447" t="s">
        <v>357</v>
      </c>
      <c r="D19" s="453">
        <v>45398</v>
      </c>
      <c r="E19" s="451" t="s">
        <v>157</v>
      </c>
      <c r="F19" s="453">
        <v>45398</v>
      </c>
      <c r="G19" s="454">
        <v>1</v>
      </c>
      <c r="H19" s="575">
        <v>0</v>
      </c>
      <c r="I19" s="575">
        <v>0</v>
      </c>
      <c r="J19" s="454">
        <v>1</v>
      </c>
      <c r="K19" s="454">
        <v>1</v>
      </c>
      <c r="L19" s="454">
        <v>1</v>
      </c>
      <c r="M19" s="454">
        <v>1</v>
      </c>
      <c r="N19" s="454">
        <v>1</v>
      </c>
      <c r="O19" s="454">
        <v>1</v>
      </c>
      <c r="P19" s="454">
        <v>1</v>
      </c>
      <c r="Q19" s="454">
        <v>1</v>
      </c>
      <c r="R19" s="454">
        <v>1</v>
      </c>
      <c r="S19" s="454">
        <v>1</v>
      </c>
      <c r="T19" s="454">
        <v>1</v>
      </c>
      <c r="U19" s="454">
        <v>1</v>
      </c>
      <c r="V19" s="454">
        <v>1</v>
      </c>
      <c r="W19" s="454">
        <v>1</v>
      </c>
      <c r="X19" s="454">
        <v>1</v>
      </c>
      <c r="Y19" s="454">
        <v>1</v>
      </c>
      <c r="Z19" s="454">
        <v>1</v>
      </c>
      <c r="AA19" s="454">
        <v>1</v>
      </c>
      <c r="AB19" s="454">
        <v>1</v>
      </c>
      <c r="AC19" s="454">
        <v>1</v>
      </c>
      <c r="AD19" s="454">
        <v>1</v>
      </c>
      <c r="AE19" s="454">
        <v>1</v>
      </c>
      <c r="AF19" s="454">
        <v>1</v>
      </c>
    </row>
    <row r="20" spans="1:32" ht="15" x14ac:dyDescent="0.3">
      <c r="A20" s="685"/>
      <c r="B20" s="449">
        <v>18</v>
      </c>
      <c r="C20" s="447" t="s">
        <v>358</v>
      </c>
      <c r="D20" s="453">
        <v>45398</v>
      </c>
      <c r="E20" s="451" t="s">
        <v>157</v>
      </c>
      <c r="F20" s="453">
        <v>45398</v>
      </c>
      <c r="G20" s="454">
        <v>1</v>
      </c>
      <c r="H20" s="575">
        <v>0</v>
      </c>
      <c r="I20" s="575">
        <v>0</v>
      </c>
      <c r="J20" s="454">
        <v>1</v>
      </c>
      <c r="K20" s="454">
        <v>1</v>
      </c>
      <c r="L20" s="454">
        <v>1</v>
      </c>
      <c r="M20" s="454">
        <v>1</v>
      </c>
      <c r="N20" s="454">
        <v>1</v>
      </c>
      <c r="O20" s="454">
        <v>1</v>
      </c>
      <c r="P20" s="454">
        <v>1</v>
      </c>
      <c r="Q20" s="454">
        <v>1</v>
      </c>
      <c r="R20" s="454">
        <v>1</v>
      </c>
      <c r="S20" s="454">
        <v>1</v>
      </c>
      <c r="T20" s="454">
        <v>1</v>
      </c>
      <c r="U20" s="454">
        <v>1</v>
      </c>
      <c r="V20" s="454">
        <v>1</v>
      </c>
      <c r="W20" s="454">
        <v>1</v>
      </c>
      <c r="X20" s="454">
        <v>1</v>
      </c>
      <c r="Y20" s="454">
        <v>1</v>
      </c>
      <c r="Z20" s="454">
        <v>1</v>
      </c>
      <c r="AA20" s="454">
        <v>1</v>
      </c>
      <c r="AB20" s="454">
        <v>1</v>
      </c>
      <c r="AC20" s="454">
        <v>1</v>
      </c>
      <c r="AD20" s="454">
        <v>1</v>
      </c>
      <c r="AE20" s="454">
        <v>1</v>
      </c>
      <c r="AF20" s="454">
        <v>1</v>
      </c>
    </row>
    <row r="21" spans="1:32" ht="15" x14ac:dyDescent="0.3">
      <c r="A21" s="685"/>
      <c r="B21" s="449">
        <v>19</v>
      </c>
      <c r="C21" s="447" t="s">
        <v>359</v>
      </c>
      <c r="D21" s="453">
        <v>45418</v>
      </c>
      <c r="E21" s="451" t="s">
        <v>157</v>
      </c>
      <c r="F21" s="453">
        <v>45418</v>
      </c>
      <c r="G21" s="454">
        <v>1</v>
      </c>
      <c r="H21" s="575">
        <v>0</v>
      </c>
      <c r="I21" s="575">
        <v>0</v>
      </c>
      <c r="J21" s="575">
        <v>0</v>
      </c>
      <c r="K21" s="454">
        <v>1</v>
      </c>
      <c r="L21" s="454">
        <v>1</v>
      </c>
      <c r="M21" s="454">
        <v>1</v>
      </c>
      <c r="N21" s="454">
        <v>1</v>
      </c>
      <c r="O21" s="454">
        <v>1</v>
      </c>
      <c r="P21" s="454">
        <v>1</v>
      </c>
      <c r="Q21" s="454">
        <v>1</v>
      </c>
      <c r="R21" s="454">
        <v>1</v>
      </c>
      <c r="S21" s="454">
        <v>1</v>
      </c>
      <c r="T21" s="454">
        <v>1</v>
      </c>
      <c r="U21" s="454">
        <v>1</v>
      </c>
      <c r="V21" s="454">
        <v>1</v>
      </c>
      <c r="W21" s="454">
        <v>1</v>
      </c>
      <c r="X21" s="454">
        <v>1</v>
      </c>
      <c r="Y21" s="454">
        <v>1</v>
      </c>
      <c r="Z21" s="454">
        <v>1</v>
      </c>
      <c r="AA21" s="454">
        <v>1</v>
      </c>
      <c r="AB21" s="454">
        <v>1</v>
      </c>
      <c r="AC21" s="454">
        <v>1</v>
      </c>
      <c r="AD21" s="454">
        <v>1</v>
      </c>
      <c r="AE21" s="454">
        <v>1</v>
      </c>
      <c r="AF21" s="454">
        <v>1</v>
      </c>
    </row>
    <row r="22" spans="1:32" ht="15" x14ac:dyDescent="0.3">
      <c r="A22" s="685"/>
      <c r="B22" s="449">
        <v>20</v>
      </c>
      <c r="C22" s="447" t="s">
        <v>360</v>
      </c>
      <c r="D22" s="453">
        <v>45418</v>
      </c>
      <c r="E22" s="451" t="s">
        <v>157</v>
      </c>
      <c r="F22" s="453">
        <v>45418</v>
      </c>
      <c r="G22" s="454">
        <v>1</v>
      </c>
      <c r="H22" s="575">
        <v>0</v>
      </c>
      <c r="I22" s="575">
        <v>0</v>
      </c>
      <c r="J22" s="575">
        <v>0</v>
      </c>
      <c r="K22" s="454">
        <v>1</v>
      </c>
      <c r="L22" s="454">
        <v>1</v>
      </c>
      <c r="M22" s="454">
        <v>1</v>
      </c>
      <c r="N22" s="454">
        <v>1</v>
      </c>
      <c r="O22" s="454">
        <v>1</v>
      </c>
      <c r="P22" s="454">
        <v>1</v>
      </c>
      <c r="Q22" s="454">
        <v>1</v>
      </c>
      <c r="R22" s="454">
        <v>1</v>
      </c>
      <c r="S22" s="454">
        <v>1</v>
      </c>
      <c r="T22" s="454">
        <v>1</v>
      </c>
      <c r="U22" s="454">
        <v>1</v>
      </c>
      <c r="V22" s="454">
        <v>1</v>
      </c>
      <c r="W22" s="454">
        <v>1</v>
      </c>
      <c r="X22" s="454">
        <v>1</v>
      </c>
      <c r="Y22" s="454">
        <v>1</v>
      </c>
      <c r="Z22" s="454">
        <v>1</v>
      </c>
      <c r="AA22" s="454">
        <v>1</v>
      </c>
      <c r="AB22" s="454">
        <v>1</v>
      </c>
      <c r="AC22" s="454">
        <v>1</v>
      </c>
      <c r="AD22" s="454">
        <v>1</v>
      </c>
      <c r="AE22" s="454">
        <v>1</v>
      </c>
      <c r="AF22" s="454">
        <v>1</v>
      </c>
    </row>
    <row r="23" spans="1:32" ht="15.6" thickBot="1" x14ac:dyDescent="0.35">
      <c r="A23" s="685"/>
      <c r="B23" s="450">
        <v>21</v>
      </c>
      <c r="C23" s="459" t="s">
        <v>361</v>
      </c>
      <c r="D23" s="462">
        <v>45418</v>
      </c>
      <c r="E23" s="455" t="s">
        <v>157</v>
      </c>
      <c r="F23" s="462">
        <v>45418</v>
      </c>
      <c r="G23" s="456">
        <v>1</v>
      </c>
      <c r="H23" s="612">
        <v>0</v>
      </c>
      <c r="I23" s="613">
        <v>0</v>
      </c>
      <c r="J23" s="613">
        <v>0</v>
      </c>
      <c r="K23" s="456">
        <v>1</v>
      </c>
      <c r="L23" s="456">
        <v>1</v>
      </c>
      <c r="M23" s="456">
        <v>1</v>
      </c>
      <c r="N23" s="456">
        <v>1</v>
      </c>
      <c r="O23" s="456">
        <v>1</v>
      </c>
      <c r="P23" s="456">
        <v>1</v>
      </c>
      <c r="Q23" s="456">
        <v>1</v>
      </c>
      <c r="R23" s="456">
        <v>1</v>
      </c>
      <c r="S23" s="456">
        <v>1</v>
      </c>
      <c r="T23" s="456">
        <v>1</v>
      </c>
      <c r="U23" s="456">
        <v>1</v>
      </c>
      <c r="V23" s="456">
        <v>1</v>
      </c>
      <c r="W23" s="456">
        <v>1</v>
      </c>
      <c r="X23" s="456">
        <v>1</v>
      </c>
      <c r="Y23" s="456">
        <v>1</v>
      </c>
      <c r="Z23" s="456">
        <v>1</v>
      </c>
      <c r="AA23" s="456">
        <v>1</v>
      </c>
      <c r="AB23" s="456">
        <v>1</v>
      </c>
      <c r="AC23" s="456">
        <v>1</v>
      </c>
      <c r="AD23" s="456">
        <v>1</v>
      </c>
      <c r="AE23" s="456">
        <v>1</v>
      </c>
      <c r="AF23" s="456">
        <v>1</v>
      </c>
    </row>
    <row r="24" spans="1:32" ht="15" x14ac:dyDescent="0.3">
      <c r="A24" s="696" t="s">
        <v>296</v>
      </c>
      <c r="B24" s="460">
        <v>22</v>
      </c>
      <c r="C24" s="461" t="s">
        <v>362</v>
      </c>
      <c r="D24" s="463">
        <v>45429</v>
      </c>
      <c r="E24" s="457" t="s">
        <v>157</v>
      </c>
      <c r="F24" s="463">
        <v>45429</v>
      </c>
      <c r="G24" s="458">
        <v>1</v>
      </c>
      <c r="H24" s="575">
        <v>0</v>
      </c>
      <c r="I24" s="575">
        <v>0</v>
      </c>
      <c r="J24" s="575">
        <v>0</v>
      </c>
      <c r="K24" s="458">
        <v>1</v>
      </c>
      <c r="L24" s="458">
        <v>1</v>
      </c>
      <c r="M24" s="458">
        <v>1</v>
      </c>
      <c r="N24" s="458">
        <v>1</v>
      </c>
      <c r="O24" s="458">
        <v>1</v>
      </c>
      <c r="P24" s="458">
        <v>1</v>
      </c>
      <c r="Q24" s="458">
        <v>1</v>
      </c>
      <c r="R24" s="458">
        <v>1</v>
      </c>
      <c r="S24" s="458">
        <v>1</v>
      </c>
      <c r="T24" s="458">
        <v>1</v>
      </c>
      <c r="U24" s="458">
        <v>1</v>
      </c>
      <c r="V24" s="458">
        <v>1</v>
      </c>
      <c r="W24" s="458">
        <v>1</v>
      </c>
      <c r="X24" s="458">
        <v>1</v>
      </c>
      <c r="Y24" s="458">
        <v>1</v>
      </c>
      <c r="Z24" s="458">
        <v>1</v>
      </c>
      <c r="AA24" s="458">
        <v>1</v>
      </c>
      <c r="AB24" s="458">
        <v>1</v>
      </c>
      <c r="AC24" s="458">
        <v>1</v>
      </c>
      <c r="AD24" s="458">
        <v>1</v>
      </c>
      <c r="AE24" s="458">
        <v>1</v>
      </c>
      <c r="AF24" s="458">
        <v>1</v>
      </c>
    </row>
    <row r="25" spans="1:32" ht="15" x14ac:dyDescent="0.3">
      <c r="A25" s="696"/>
      <c r="B25" s="449">
        <v>23</v>
      </c>
      <c r="C25" s="447" t="s">
        <v>363</v>
      </c>
      <c r="D25" s="453">
        <v>45429</v>
      </c>
      <c r="E25" s="451" t="s">
        <v>157</v>
      </c>
      <c r="F25" s="453">
        <v>45429</v>
      </c>
      <c r="G25" s="454">
        <v>1</v>
      </c>
      <c r="H25" s="575">
        <v>0</v>
      </c>
      <c r="I25" s="575">
        <v>0</v>
      </c>
      <c r="J25" s="575">
        <v>0</v>
      </c>
      <c r="K25" s="454">
        <v>1</v>
      </c>
      <c r="L25" s="454">
        <v>1</v>
      </c>
      <c r="M25" s="454">
        <v>1</v>
      </c>
      <c r="N25" s="454">
        <v>1</v>
      </c>
      <c r="O25" s="454">
        <v>1</v>
      </c>
      <c r="P25" s="454">
        <v>1</v>
      </c>
      <c r="Q25" s="454">
        <v>1</v>
      </c>
      <c r="R25" s="454">
        <v>1</v>
      </c>
      <c r="S25" s="454">
        <v>1</v>
      </c>
      <c r="T25" s="454">
        <v>1</v>
      </c>
      <c r="U25" s="454">
        <v>1</v>
      </c>
      <c r="V25" s="454">
        <v>1</v>
      </c>
      <c r="W25" s="454">
        <v>1</v>
      </c>
      <c r="X25" s="454">
        <v>1</v>
      </c>
      <c r="Y25" s="454">
        <v>1</v>
      </c>
      <c r="Z25" s="454">
        <v>1</v>
      </c>
      <c r="AA25" s="454">
        <v>1</v>
      </c>
      <c r="AB25" s="454">
        <v>1</v>
      </c>
      <c r="AC25" s="454">
        <v>1</v>
      </c>
      <c r="AD25" s="454">
        <v>1</v>
      </c>
      <c r="AE25" s="454">
        <v>1</v>
      </c>
      <c r="AF25" s="454">
        <v>1</v>
      </c>
    </row>
    <row r="26" spans="1:32" ht="15" x14ac:dyDescent="0.3">
      <c r="A26" s="696"/>
      <c r="B26" s="449">
        <v>24</v>
      </c>
      <c r="C26" s="447" t="s">
        <v>364</v>
      </c>
      <c r="D26" s="453">
        <v>45429</v>
      </c>
      <c r="E26" s="451" t="s">
        <v>157</v>
      </c>
      <c r="F26" s="453">
        <v>45429</v>
      </c>
      <c r="G26" s="454">
        <v>1</v>
      </c>
      <c r="H26" s="575">
        <v>0</v>
      </c>
      <c r="I26" s="575">
        <v>0</v>
      </c>
      <c r="J26" s="575">
        <v>0</v>
      </c>
      <c r="K26" s="454">
        <v>1</v>
      </c>
      <c r="L26" s="454">
        <v>1</v>
      </c>
      <c r="M26" s="454">
        <v>1</v>
      </c>
      <c r="N26" s="454">
        <v>1</v>
      </c>
      <c r="O26" s="454">
        <v>1</v>
      </c>
      <c r="P26" s="454">
        <v>1</v>
      </c>
      <c r="Q26" s="454">
        <v>1</v>
      </c>
      <c r="R26" s="454">
        <v>1</v>
      </c>
      <c r="S26" s="454">
        <v>1</v>
      </c>
      <c r="T26" s="454">
        <v>1</v>
      </c>
      <c r="U26" s="454">
        <v>1</v>
      </c>
      <c r="V26" s="454">
        <v>1</v>
      </c>
      <c r="W26" s="454">
        <v>1</v>
      </c>
      <c r="X26" s="454">
        <v>1</v>
      </c>
      <c r="Y26" s="454">
        <v>1</v>
      </c>
      <c r="Z26" s="454">
        <v>1</v>
      </c>
      <c r="AA26" s="454">
        <v>1</v>
      </c>
      <c r="AB26" s="454">
        <v>1</v>
      </c>
      <c r="AC26" s="454">
        <v>1</v>
      </c>
      <c r="AD26" s="454">
        <v>1</v>
      </c>
      <c r="AE26" s="454">
        <v>1</v>
      </c>
      <c r="AF26" s="454">
        <v>1</v>
      </c>
    </row>
    <row r="27" spans="1:32" ht="15" x14ac:dyDescent="0.3">
      <c r="A27" s="696"/>
      <c r="B27" s="449">
        <v>25</v>
      </c>
      <c r="C27" s="447" t="s">
        <v>365</v>
      </c>
      <c r="D27" s="453">
        <v>45449</v>
      </c>
      <c r="E27" s="451" t="s">
        <v>157</v>
      </c>
      <c r="F27" s="453">
        <v>45449</v>
      </c>
      <c r="G27" s="454">
        <v>1</v>
      </c>
      <c r="H27" s="575">
        <v>0</v>
      </c>
      <c r="I27" s="575">
        <v>0</v>
      </c>
      <c r="J27" s="575">
        <v>0</v>
      </c>
      <c r="K27" s="575">
        <v>0</v>
      </c>
      <c r="L27" s="454">
        <v>1</v>
      </c>
      <c r="M27" s="454">
        <v>1</v>
      </c>
      <c r="N27" s="454">
        <v>1</v>
      </c>
      <c r="O27" s="454">
        <v>1</v>
      </c>
      <c r="P27" s="454">
        <v>1</v>
      </c>
      <c r="Q27" s="454">
        <v>1</v>
      </c>
      <c r="R27" s="454">
        <v>1</v>
      </c>
      <c r="S27" s="454">
        <v>1</v>
      </c>
      <c r="T27" s="454">
        <v>1</v>
      </c>
      <c r="U27" s="454">
        <v>1</v>
      </c>
      <c r="V27" s="454">
        <v>1</v>
      </c>
      <c r="W27" s="454">
        <v>1</v>
      </c>
      <c r="X27" s="454">
        <v>1</v>
      </c>
      <c r="Y27" s="454">
        <v>1</v>
      </c>
      <c r="Z27" s="454">
        <v>1</v>
      </c>
      <c r="AA27" s="454">
        <v>1</v>
      </c>
      <c r="AB27" s="454">
        <v>1</v>
      </c>
      <c r="AC27" s="454">
        <v>1</v>
      </c>
      <c r="AD27" s="454">
        <v>1</v>
      </c>
      <c r="AE27" s="454">
        <v>1</v>
      </c>
      <c r="AF27" s="454">
        <v>1</v>
      </c>
    </row>
    <row r="28" spans="1:32" ht="15" x14ac:dyDescent="0.3">
      <c r="A28" s="696"/>
      <c r="B28" s="449">
        <v>26</v>
      </c>
      <c r="C28" s="447" t="s">
        <v>366</v>
      </c>
      <c r="D28" s="453">
        <v>45449</v>
      </c>
      <c r="E28" s="451" t="s">
        <v>157</v>
      </c>
      <c r="F28" s="453">
        <v>45449</v>
      </c>
      <c r="G28" s="454">
        <v>1</v>
      </c>
      <c r="H28" s="575">
        <v>0</v>
      </c>
      <c r="I28" s="575">
        <v>0</v>
      </c>
      <c r="J28" s="575">
        <v>0</v>
      </c>
      <c r="K28" s="575">
        <v>0</v>
      </c>
      <c r="L28" s="454">
        <v>1</v>
      </c>
      <c r="M28" s="454">
        <v>1</v>
      </c>
      <c r="N28" s="454">
        <v>1</v>
      </c>
      <c r="O28" s="454">
        <v>1</v>
      </c>
      <c r="P28" s="454">
        <v>1</v>
      </c>
      <c r="Q28" s="454">
        <v>1</v>
      </c>
      <c r="R28" s="454">
        <v>1</v>
      </c>
      <c r="S28" s="454">
        <v>1</v>
      </c>
      <c r="T28" s="454">
        <v>1</v>
      </c>
      <c r="U28" s="454">
        <v>1</v>
      </c>
      <c r="V28" s="454">
        <v>1</v>
      </c>
      <c r="W28" s="454">
        <v>1</v>
      </c>
      <c r="X28" s="454">
        <v>1</v>
      </c>
      <c r="Y28" s="454">
        <v>1</v>
      </c>
      <c r="Z28" s="454">
        <v>1</v>
      </c>
      <c r="AA28" s="454">
        <v>1</v>
      </c>
      <c r="AB28" s="454">
        <v>1</v>
      </c>
      <c r="AC28" s="454">
        <v>1</v>
      </c>
      <c r="AD28" s="454">
        <v>1</v>
      </c>
      <c r="AE28" s="454">
        <v>1</v>
      </c>
      <c r="AF28" s="454">
        <v>1</v>
      </c>
    </row>
    <row r="29" spans="1:32" ht="15.6" thickBot="1" x14ac:dyDescent="0.35">
      <c r="A29" s="696"/>
      <c r="B29" s="450">
        <v>27</v>
      </c>
      <c r="C29" s="459" t="s">
        <v>367</v>
      </c>
      <c r="D29" s="462">
        <v>45449</v>
      </c>
      <c r="E29" s="455" t="s">
        <v>157</v>
      </c>
      <c r="F29" s="462">
        <v>45449</v>
      </c>
      <c r="G29" s="456">
        <v>1</v>
      </c>
      <c r="H29" s="612">
        <v>0</v>
      </c>
      <c r="I29" s="613">
        <v>0</v>
      </c>
      <c r="J29" s="613">
        <v>0</v>
      </c>
      <c r="K29" s="613">
        <v>0</v>
      </c>
      <c r="L29" s="456">
        <v>1</v>
      </c>
      <c r="M29" s="456">
        <v>1</v>
      </c>
      <c r="N29" s="456">
        <v>1</v>
      </c>
      <c r="O29" s="456">
        <v>1</v>
      </c>
      <c r="P29" s="456">
        <v>1</v>
      </c>
      <c r="Q29" s="456">
        <v>1</v>
      </c>
      <c r="R29" s="456">
        <v>1</v>
      </c>
      <c r="S29" s="456">
        <v>1</v>
      </c>
      <c r="T29" s="456">
        <v>1</v>
      </c>
      <c r="U29" s="456">
        <v>1</v>
      </c>
      <c r="V29" s="456">
        <v>1</v>
      </c>
      <c r="W29" s="456">
        <v>1</v>
      </c>
      <c r="X29" s="456">
        <v>1</v>
      </c>
      <c r="Y29" s="456">
        <v>1</v>
      </c>
      <c r="Z29" s="456">
        <v>1</v>
      </c>
      <c r="AA29" s="456">
        <v>1</v>
      </c>
      <c r="AB29" s="456">
        <v>1</v>
      </c>
      <c r="AC29" s="456">
        <v>1</v>
      </c>
      <c r="AD29" s="456">
        <v>1</v>
      </c>
      <c r="AE29" s="456">
        <v>1</v>
      </c>
      <c r="AF29" s="456">
        <v>1</v>
      </c>
    </row>
    <row r="30" spans="1:32" ht="15" x14ac:dyDescent="0.3">
      <c r="A30" s="696" t="s">
        <v>297</v>
      </c>
      <c r="B30" s="460">
        <v>28</v>
      </c>
      <c r="C30" s="461" t="s">
        <v>368</v>
      </c>
      <c r="D30" s="463">
        <v>45470</v>
      </c>
      <c r="E30" s="457" t="s">
        <v>157</v>
      </c>
      <c r="F30" s="463">
        <v>45470</v>
      </c>
      <c r="G30" s="458">
        <v>1</v>
      </c>
      <c r="H30" s="575">
        <v>0</v>
      </c>
      <c r="I30" s="575">
        <v>0</v>
      </c>
      <c r="J30" s="575">
        <v>0</v>
      </c>
      <c r="K30" s="575">
        <v>0</v>
      </c>
      <c r="L30" s="458">
        <v>1</v>
      </c>
      <c r="M30" s="458">
        <v>1</v>
      </c>
      <c r="N30" s="458">
        <v>1</v>
      </c>
      <c r="O30" s="458">
        <v>1</v>
      </c>
      <c r="P30" s="458">
        <v>1</v>
      </c>
      <c r="Q30" s="458">
        <v>1</v>
      </c>
      <c r="R30" s="458">
        <v>1</v>
      </c>
      <c r="S30" s="458">
        <v>1</v>
      </c>
      <c r="T30" s="458">
        <v>1</v>
      </c>
      <c r="U30" s="458">
        <v>1</v>
      </c>
      <c r="V30" s="458">
        <v>1</v>
      </c>
      <c r="W30" s="458">
        <v>1</v>
      </c>
      <c r="X30" s="458">
        <v>1</v>
      </c>
      <c r="Y30" s="458">
        <v>1</v>
      </c>
      <c r="Z30" s="458">
        <v>1</v>
      </c>
      <c r="AA30" s="458">
        <v>1</v>
      </c>
      <c r="AB30" s="458">
        <v>1</v>
      </c>
      <c r="AC30" s="458">
        <v>1</v>
      </c>
      <c r="AD30" s="458">
        <v>1</v>
      </c>
      <c r="AE30" s="458">
        <v>1</v>
      </c>
      <c r="AF30" s="458">
        <v>1</v>
      </c>
    </row>
    <row r="31" spans="1:32" ht="15" x14ac:dyDescent="0.3">
      <c r="A31" s="696"/>
      <c r="B31" s="449">
        <v>29</v>
      </c>
      <c r="C31" s="447" t="s">
        <v>369</v>
      </c>
      <c r="D31" s="453">
        <v>45470</v>
      </c>
      <c r="E31" s="451" t="s">
        <v>157</v>
      </c>
      <c r="F31" s="453">
        <v>45470</v>
      </c>
      <c r="G31" s="454">
        <v>1</v>
      </c>
      <c r="H31" s="575">
        <v>0</v>
      </c>
      <c r="I31" s="575">
        <v>0</v>
      </c>
      <c r="J31" s="575">
        <v>0</v>
      </c>
      <c r="K31" s="575">
        <v>0</v>
      </c>
      <c r="L31" s="454">
        <v>1</v>
      </c>
      <c r="M31" s="454">
        <v>1</v>
      </c>
      <c r="N31" s="454">
        <v>1</v>
      </c>
      <c r="O31" s="454">
        <v>1</v>
      </c>
      <c r="P31" s="454">
        <v>1</v>
      </c>
      <c r="Q31" s="454">
        <v>1</v>
      </c>
      <c r="R31" s="454">
        <v>1</v>
      </c>
      <c r="S31" s="454">
        <v>1</v>
      </c>
      <c r="T31" s="454">
        <v>1</v>
      </c>
      <c r="U31" s="454">
        <v>1</v>
      </c>
      <c r="V31" s="454">
        <v>1</v>
      </c>
      <c r="W31" s="454">
        <v>1</v>
      </c>
      <c r="X31" s="454">
        <v>1</v>
      </c>
      <c r="Y31" s="454">
        <v>1</v>
      </c>
      <c r="Z31" s="454">
        <v>1</v>
      </c>
      <c r="AA31" s="454">
        <v>1</v>
      </c>
      <c r="AB31" s="454">
        <v>1</v>
      </c>
      <c r="AC31" s="454">
        <v>1</v>
      </c>
      <c r="AD31" s="454">
        <v>1</v>
      </c>
      <c r="AE31" s="454">
        <v>1</v>
      </c>
      <c r="AF31" s="454">
        <v>1</v>
      </c>
    </row>
    <row r="32" spans="1:32" ht="15" x14ac:dyDescent="0.3">
      <c r="A32" s="696"/>
      <c r="B32" s="449">
        <v>30</v>
      </c>
      <c r="C32" s="447" t="s">
        <v>370</v>
      </c>
      <c r="D32" s="453">
        <v>45470</v>
      </c>
      <c r="E32" s="451" t="s">
        <v>157</v>
      </c>
      <c r="F32" s="453">
        <v>45470</v>
      </c>
      <c r="G32" s="454">
        <v>1</v>
      </c>
      <c r="H32" s="575">
        <v>0</v>
      </c>
      <c r="I32" s="575">
        <v>0</v>
      </c>
      <c r="J32" s="575">
        <v>0</v>
      </c>
      <c r="K32" s="575">
        <v>0</v>
      </c>
      <c r="L32" s="454">
        <v>1</v>
      </c>
      <c r="M32" s="454">
        <v>1</v>
      </c>
      <c r="N32" s="454">
        <v>1</v>
      </c>
      <c r="O32" s="454">
        <v>1</v>
      </c>
      <c r="P32" s="454">
        <v>1</v>
      </c>
      <c r="Q32" s="454">
        <v>1</v>
      </c>
      <c r="R32" s="454">
        <v>1</v>
      </c>
      <c r="S32" s="454">
        <v>1</v>
      </c>
      <c r="T32" s="454">
        <v>1</v>
      </c>
      <c r="U32" s="454">
        <v>1</v>
      </c>
      <c r="V32" s="454">
        <v>1</v>
      </c>
      <c r="W32" s="454">
        <v>1</v>
      </c>
      <c r="X32" s="454">
        <v>1</v>
      </c>
      <c r="Y32" s="454">
        <v>1</v>
      </c>
      <c r="Z32" s="454">
        <v>1</v>
      </c>
      <c r="AA32" s="454">
        <v>1</v>
      </c>
      <c r="AB32" s="454">
        <v>1</v>
      </c>
      <c r="AC32" s="454">
        <v>1</v>
      </c>
      <c r="AD32" s="454">
        <v>1</v>
      </c>
      <c r="AE32" s="454">
        <v>1</v>
      </c>
      <c r="AF32" s="454">
        <v>1</v>
      </c>
    </row>
    <row r="33" spans="1:32" ht="15" x14ac:dyDescent="0.3">
      <c r="A33" s="696"/>
      <c r="B33" s="449">
        <v>31</v>
      </c>
      <c r="C33" s="447" t="s">
        <v>371</v>
      </c>
      <c r="D33" s="453">
        <v>45481</v>
      </c>
      <c r="E33" s="451" t="s">
        <v>157</v>
      </c>
      <c r="F33" s="453">
        <v>45481</v>
      </c>
      <c r="G33" s="454">
        <v>1</v>
      </c>
      <c r="H33" s="575">
        <v>0</v>
      </c>
      <c r="I33" s="575">
        <v>0</v>
      </c>
      <c r="J33" s="575">
        <v>0</v>
      </c>
      <c r="K33" s="575">
        <v>0</v>
      </c>
      <c r="L33" s="575">
        <v>0</v>
      </c>
      <c r="M33" s="454">
        <v>1</v>
      </c>
      <c r="N33" s="454">
        <v>1</v>
      </c>
      <c r="O33" s="454">
        <v>1</v>
      </c>
      <c r="P33" s="454">
        <v>1</v>
      </c>
      <c r="Q33" s="454">
        <v>1</v>
      </c>
      <c r="R33" s="454">
        <v>1</v>
      </c>
      <c r="S33" s="454">
        <v>1</v>
      </c>
      <c r="T33" s="454">
        <v>1</v>
      </c>
      <c r="U33" s="454">
        <v>1</v>
      </c>
      <c r="V33" s="454">
        <v>1</v>
      </c>
      <c r="W33" s="454">
        <v>1</v>
      </c>
      <c r="X33" s="454">
        <v>1</v>
      </c>
      <c r="Y33" s="454">
        <v>1</v>
      </c>
      <c r="Z33" s="454">
        <v>1</v>
      </c>
      <c r="AA33" s="454">
        <v>1</v>
      </c>
      <c r="AB33" s="454">
        <v>1</v>
      </c>
      <c r="AC33" s="454">
        <v>1</v>
      </c>
      <c r="AD33" s="454">
        <v>1</v>
      </c>
      <c r="AE33" s="454">
        <v>1</v>
      </c>
      <c r="AF33" s="454">
        <v>1</v>
      </c>
    </row>
    <row r="34" spans="1:32" ht="15" x14ac:dyDescent="0.3">
      <c r="A34" s="696"/>
      <c r="B34" s="449">
        <v>32</v>
      </c>
      <c r="C34" s="447" t="s">
        <v>372</v>
      </c>
      <c r="D34" s="453">
        <v>45481</v>
      </c>
      <c r="E34" s="451" t="s">
        <v>157</v>
      </c>
      <c r="F34" s="453">
        <v>45481</v>
      </c>
      <c r="G34" s="454">
        <v>1</v>
      </c>
      <c r="H34" s="575">
        <v>0</v>
      </c>
      <c r="I34" s="575">
        <v>0</v>
      </c>
      <c r="J34" s="575">
        <v>0</v>
      </c>
      <c r="K34" s="575">
        <v>0</v>
      </c>
      <c r="L34" s="575">
        <v>0</v>
      </c>
      <c r="M34" s="454">
        <v>1</v>
      </c>
      <c r="N34" s="454">
        <v>1</v>
      </c>
      <c r="O34" s="454">
        <v>1</v>
      </c>
      <c r="P34" s="454">
        <v>1</v>
      </c>
      <c r="Q34" s="454">
        <v>1</v>
      </c>
      <c r="R34" s="454">
        <v>1</v>
      </c>
      <c r="S34" s="454">
        <v>1</v>
      </c>
      <c r="T34" s="454">
        <v>1</v>
      </c>
      <c r="U34" s="454">
        <v>1</v>
      </c>
      <c r="V34" s="454">
        <v>1</v>
      </c>
      <c r="W34" s="454">
        <v>1</v>
      </c>
      <c r="X34" s="454">
        <v>1</v>
      </c>
      <c r="Y34" s="454">
        <v>1</v>
      </c>
      <c r="Z34" s="454">
        <v>1</v>
      </c>
      <c r="AA34" s="454">
        <v>1</v>
      </c>
      <c r="AB34" s="454">
        <v>1</v>
      </c>
      <c r="AC34" s="454">
        <v>1</v>
      </c>
      <c r="AD34" s="454">
        <v>1</v>
      </c>
      <c r="AE34" s="454">
        <v>1</v>
      </c>
      <c r="AF34" s="454">
        <v>1</v>
      </c>
    </row>
    <row r="35" spans="1:32" ht="15.6" thickBot="1" x14ac:dyDescent="0.35">
      <c r="A35" s="696"/>
      <c r="B35" s="450">
        <v>33</v>
      </c>
      <c r="C35" s="459" t="s">
        <v>373</v>
      </c>
      <c r="D35" s="462">
        <v>45481</v>
      </c>
      <c r="E35" s="455" t="s">
        <v>157</v>
      </c>
      <c r="F35" s="462">
        <v>45481</v>
      </c>
      <c r="G35" s="456">
        <v>1</v>
      </c>
      <c r="H35" s="612">
        <v>0</v>
      </c>
      <c r="I35" s="613">
        <v>0</v>
      </c>
      <c r="J35" s="613">
        <v>0</v>
      </c>
      <c r="K35" s="613">
        <v>0</v>
      </c>
      <c r="L35" s="613">
        <v>0</v>
      </c>
      <c r="M35" s="456">
        <v>1</v>
      </c>
      <c r="N35" s="456">
        <v>1</v>
      </c>
      <c r="O35" s="456">
        <v>1</v>
      </c>
      <c r="P35" s="456">
        <v>1</v>
      </c>
      <c r="Q35" s="456">
        <v>1</v>
      </c>
      <c r="R35" s="456">
        <v>1</v>
      </c>
      <c r="S35" s="456">
        <v>1</v>
      </c>
      <c r="T35" s="456">
        <v>1</v>
      </c>
      <c r="U35" s="456">
        <v>1</v>
      </c>
      <c r="V35" s="456">
        <v>1</v>
      </c>
      <c r="W35" s="456">
        <v>1</v>
      </c>
      <c r="X35" s="456">
        <v>1</v>
      </c>
      <c r="Y35" s="456">
        <v>1</v>
      </c>
      <c r="Z35" s="456">
        <v>1</v>
      </c>
      <c r="AA35" s="456">
        <v>1</v>
      </c>
      <c r="AB35" s="456">
        <v>1</v>
      </c>
      <c r="AC35" s="456">
        <v>1</v>
      </c>
      <c r="AD35" s="456">
        <v>1</v>
      </c>
      <c r="AE35" s="456">
        <v>1</v>
      </c>
      <c r="AF35" s="456">
        <v>1</v>
      </c>
    </row>
    <row r="36" spans="1:32" ht="15" x14ac:dyDescent="0.3">
      <c r="A36" s="696" t="s">
        <v>298</v>
      </c>
      <c r="B36" s="460">
        <v>34</v>
      </c>
      <c r="C36" s="461" t="s">
        <v>374</v>
      </c>
      <c r="D36" s="463">
        <v>45506</v>
      </c>
      <c r="E36" s="457" t="s">
        <v>157</v>
      </c>
      <c r="F36" s="463">
        <v>45506</v>
      </c>
      <c r="G36" s="458">
        <v>1</v>
      </c>
      <c r="H36" s="575">
        <v>0</v>
      </c>
      <c r="I36" s="575">
        <v>0</v>
      </c>
      <c r="J36" s="575">
        <v>0</v>
      </c>
      <c r="K36" s="575">
        <v>0</v>
      </c>
      <c r="L36" s="575">
        <v>0</v>
      </c>
      <c r="M36" s="575">
        <v>0</v>
      </c>
      <c r="N36" s="458">
        <v>1</v>
      </c>
      <c r="O36" s="458">
        <v>1</v>
      </c>
      <c r="P36" s="458">
        <v>1</v>
      </c>
      <c r="Q36" s="458">
        <v>1</v>
      </c>
      <c r="R36" s="458">
        <v>1</v>
      </c>
      <c r="S36" s="458">
        <v>1</v>
      </c>
      <c r="T36" s="458">
        <v>1</v>
      </c>
      <c r="U36" s="458">
        <v>1</v>
      </c>
      <c r="V36" s="458">
        <v>1</v>
      </c>
      <c r="W36" s="458">
        <v>1</v>
      </c>
      <c r="X36" s="458">
        <v>1</v>
      </c>
      <c r="Y36" s="458">
        <v>1</v>
      </c>
      <c r="Z36" s="458">
        <v>1</v>
      </c>
      <c r="AA36" s="458">
        <v>1</v>
      </c>
      <c r="AB36" s="458">
        <v>1</v>
      </c>
      <c r="AC36" s="458">
        <v>1</v>
      </c>
      <c r="AD36" s="458">
        <v>1</v>
      </c>
      <c r="AE36" s="458">
        <v>1</v>
      </c>
      <c r="AF36" s="458">
        <v>1</v>
      </c>
    </row>
    <row r="37" spans="1:32" ht="15" x14ac:dyDescent="0.3">
      <c r="A37" s="696"/>
      <c r="B37" s="449">
        <v>35</v>
      </c>
      <c r="C37" s="447" t="s">
        <v>375</v>
      </c>
      <c r="D37" s="453">
        <v>45506</v>
      </c>
      <c r="E37" s="451" t="s">
        <v>157</v>
      </c>
      <c r="F37" s="453">
        <v>45506</v>
      </c>
      <c r="G37" s="454">
        <v>1</v>
      </c>
      <c r="H37" s="575">
        <v>0</v>
      </c>
      <c r="I37" s="575">
        <v>0</v>
      </c>
      <c r="J37" s="575">
        <v>0</v>
      </c>
      <c r="K37" s="575">
        <v>0</v>
      </c>
      <c r="L37" s="575">
        <v>0</v>
      </c>
      <c r="M37" s="575">
        <v>0</v>
      </c>
      <c r="N37" s="454">
        <v>1</v>
      </c>
      <c r="O37" s="454">
        <v>1</v>
      </c>
      <c r="P37" s="454">
        <v>1</v>
      </c>
      <c r="Q37" s="454">
        <v>1</v>
      </c>
      <c r="R37" s="454">
        <v>1</v>
      </c>
      <c r="S37" s="454">
        <v>1</v>
      </c>
      <c r="T37" s="454">
        <v>1</v>
      </c>
      <c r="U37" s="454">
        <v>1</v>
      </c>
      <c r="V37" s="454">
        <v>1</v>
      </c>
      <c r="W37" s="454">
        <v>1</v>
      </c>
      <c r="X37" s="454">
        <v>1</v>
      </c>
      <c r="Y37" s="454">
        <v>1</v>
      </c>
      <c r="Z37" s="454">
        <v>1</v>
      </c>
      <c r="AA37" s="454">
        <v>1</v>
      </c>
      <c r="AB37" s="454">
        <v>1</v>
      </c>
      <c r="AC37" s="454">
        <v>1</v>
      </c>
      <c r="AD37" s="454">
        <v>1</v>
      </c>
      <c r="AE37" s="454">
        <v>1</v>
      </c>
      <c r="AF37" s="454">
        <v>1</v>
      </c>
    </row>
    <row r="38" spans="1:32" ht="15" x14ac:dyDescent="0.3">
      <c r="A38" s="696"/>
      <c r="B38" s="449">
        <v>36</v>
      </c>
      <c r="C38" s="447" t="s">
        <v>376</v>
      </c>
      <c r="D38" s="453">
        <v>45506</v>
      </c>
      <c r="E38" s="451" t="s">
        <v>157</v>
      </c>
      <c r="F38" s="453">
        <v>45506</v>
      </c>
      <c r="G38" s="454">
        <v>1</v>
      </c>
      <c r="H38" s="575">
        <v>0</v>
      </c>
      <c r="I38" s="575">
        <v>0</v>
      </c>
      <c r="J38" s="575">
        <v>0</v>
      </c>
      <c r="K38" s="575">
        <v>0</v>
      </c>
      <c r="L38" s="575">
        <v>0</v>
      </c>
      <c r="M38" s="575">
        <v>0</v>
      </c>
      <c r="N38" s="454">
        <v>1</v>
      </c>
      <c r="O38" s="454">
        <v>1</v>
      </c>
      <c r="P38" s="454">
        <v>1</v>
      </c>
      <c r="Q38" s="454">
        <v>1</v>
      </c>
      <c r="R38" s="454">
        <v>1</v>
      </c>
      <c r="S38" s="454">
        <v>1</v>
      </c>
      <c r="T38" s="454">
        <v>1</v>
      </c>
      <c r="U38" s="454">
        <v>1</v>
      </c>
      <c r="V38" s="454">
        <v>1</v>
      </c>
      <c r="W38" s="454">
        <v>1</v>
      </c>
      <c r="X38" s="454">
        <v>1</v>
      </c>
      <c r="Y38" s="454">
        <v>1</v>
      </c>
      <c r="Z38" s="454">
        <v>1</v>
      </c>
      <c r="AA38" s="454">
        <v>1</v>
      </c>
      <c r="AB38" s="454">
        <v>1</v>
      </c>
      <c r="AC38" s="454">
        <v>1</v>
      </c>
      <c r="AD38" s="454">
        <v>1</v>
      </c>
      <c r="AE38" s="454">
        <v>1</v>
      </c>
      <c r="AF38" s="454">
        <v>1</v>
      </c>
    </row>
    <row r="39" spans="1:32" ht="15" x14ac:dyDescent="0.3">
      <c r="A39" s="696"/>
      <c r="B39" s="449">
        <v>37</v>
      </c>
      <c r="C39" s="447" t="s">
        <v>377</v>
      </c>
      <c r="D39" s="453">
        <v>45513</v>
      </c>
      <c r="E39" s="451" t="s">
        <v>157</v>
      </c>
      <c r="F39" s="453">
        <v>45513</v>
      </c>
      <c r="G39" s="454">
        <v>1</v>
      </c>
      <c r="H39" s="575">
        <v>0</v>
      </c>
      <c r="I39" s="575">
        <v>0</v>
      </c>
      <c r="J39" s="575">
        <v>0</v>
      </c>
      <c r="K39" s="575">
        <v>0</v>
      </c>
      <c r="L39" s="575">
        <v>0</v>
      </c>
      <c r="M39" s="575">
        <v>0</v>
      </c>
      <c r="N39" s="454">
        <v>1</v>
      </c>
      <c r="O39" s="454">
        <v>1</v>
      </c>
      <c r="P39" s="454">
        <v>1</v>
      </c>
      <c r="Q39" s="454">
        <v>1</v>
      </c>
      <c r="R39" s="454">
        <v>1</v>
      </c>
      <c r="S39" s="454">
        <v>1</v>
      </c>
      <c r="T39" s="454">
        <v>1</v>
      </c>
      <c r="U39" s="454">
        <v>1</v>
      </c>
      <c r="V39" s="454">
        <v>1</v>
      </c>
      <c r="W39" s="454">
        <v>1</v>
      </c>
      <c r="X39" s="454">
        <v>1</v>
      </c>
      <c r="Y39" s="454">
        <v>1</v>
      </c>
      <c r="Z39" s="454">
        <v>1</v>
      </c>
      <c r="AA39" s="454">
        <v>1</v>
      </c>
      <c r="AB39" s="454">
        <v>1</v>
      </c>
      <c r="AC39" s="454">
        <v>1</v>
      </c>
      <c r="AD39" s="454">
        <v>1</v>
      </c>
      <c r="AE39" s="454">
        <v>1</v>
      </c>
      <c r="AF39" s="454">
        <v>1</v>
      </c>
    </row>
    <row r="40" spans="1:32" ht="15" x14ac:dyDescent="0.3">
      <c r="A40" s="696"/>
      <c r="B40" s="449">
        <v>38</v>
      </c>
      <c r="C40" s="447" t="s">
        <v>378</v>
      </c>
      <c r="D40" s="453">
        <v>45513</v>
      </c>
      <c r="E40" s="451" t="s">
        <v>157</v>
      </c>
      <c r="F40" s="453">
        <v>45513</v>
      </c>
      <c r="G40" s="454">
        <v>1</v>
      </c>
      <c r="H40" s="575">
        <v>0</v>
      </c>
      <c r="I40" s="575">
        <v>0</v>
      </c>
      <c r="J40" s="575">
        <v>0</v>
      </c>
      <c r="K40" s="575">
        <v>0</v>
      </c>
      <c r="L40" s="575">
        <v>0</v>
      </c>
      <c r="M40" s="575">
        <v>0</v>
      </c>
      <c r="N40" s="454">
        <v>1</v>
      </c>
      <c r="O40" s="454">
        <v>1</v>
      </c>
      <c r="P40" s="454">
        <v>1</v>
      </c>
      <c r="Q40" s="454">
        <v>1</v>
      </c>
      <c r="R40" s="454">
        <v>1</v>
      </c>
      <c r="S40" s="454">
        <v>1</v>
      </c>
      <c r="T40" s="454">
        <v>1</v>
      </c>
      <c r="U40" s="454">
        <v>1</v>
      </c>
      <c r="V40" s="454">
        <v>1</v>
      </c>
      <c r="W40" s="454">
        <v>1</v>
      </c>
      <c r="X40" s="454">
        <v>1</v>
      </c>
      <c r="Y40" s="454">
        <v>1</v>
      </c>
      <c r="Z40" s="454">
        <v>1</v>
      </c>
      <c r="AA40" s="454">
        <v>1</v>
      </c>
      <c r="AB40" s="454">
        <v>1</v>
      </c>
      <c r="AC40" s="454">
        <v>1</v>
      </c>
      <c r="AD40" s="454">
        <v>1</v>
      </c>
      <c r="AE40" s="454">
        <v>1</v>
      </c>
      <c r="AF40" s="454">
        <v>1</v>
      </c>
    </row>
    <row r="41" spans="1:32" ht="15.6" thickBot="1" x14ac:dyDescent="0.35">
      <c r="A41" s="696"/>
      <c r="B41" s="450">
        <v>39</v>
      </c>
      <c r="C41" s="459" t="s">
        <v>379</v>
      </c>
      <c r="D41" s="462">
        <v>45513</v>
      </c>
      <c r="E41" s="455" t="s">
        <v>157</v>
      </c>
      <c r="F41" s="462">
        <v>45513</v>
      </c>
      <c r="G41" s="456">
        <v>1</v>
      </c>
      <c r="H41" s="612">
        <v>0</v>
      </c>
      <c r="I41" s="613">
        <v>0</v>
      </c>
      <c r="J41" s="613">
        <v>0</v>
      </c>
      <c r="K41" s="613">
        <v>0</v>
      </c>
      <c r="L41" s="613">
        <v>0</v>
      </c>
      <c r="M41" s="613">
        <v>0</v>
      </c>
      <c r="N41" s="456">
        <v>1</v>
      </c>
      <c r="O41" s="456">
        <v>1</v>
      </c>
      <c r="P41" s="456">
        <v>1</v>
      </c>
      <c r="Q41" s="456">
        <v>1</v>
      </c>
      <c r="R41" s="456">
        <v>1</v>
      </c>
      <c r="S41" s="456">
        <v>1</v>
      </c>
      <c r="T41" s="456">
        <v>1</v>
      </c>
      <c r="U41" s="456">
        <v>1</v>
      </c>
      <c r="V41" s="456">
        <v>1</v>
      </c>
      <c r="W41" s="456">
        <v>1</v>
      </c>
      <c r="X41" s="456">
        <v>1</v>
      </c>
      <c r="Y41" s="456">
        <v>1</v>
      </c>
      <c r="Z41" s="456">
        <v>1</v>
      </c>
      <c r="AA41" s="456">
        <v>1</v>
      </c>
      <c r="AB41" s="456">
        <v>1</v>
      </c>
      <c r="AC41" s="456">
        <v>1</v>
      </c>
      <c r="AD41" s="456">
        <v>1</v>
      </c>
      <c r="AE41" s="456">
        <v>1</v>
      </c>
      <c r="AF41" s="456">
        <v>1</v>
      </c>
    </row>
    <row r="42" spans="1:32" ht="15" x14ac:dyDescent="0.3">
      <c r="A42" s="685" t="s">
        <v>299</v>
      </c>
      <c r="B42" s="460">
        <v>40</v>
      </c>
      <c r="C42" s="461" t="s">
        <v>380</v>
      </c>
      <c r="D42" s="463">
        <v>45540</v>
      </c>
      <c r="E42" s="457" t="s">
        <v>157</v>
      </c>
      <c r="F42" s="463">
        <v>45540</v>
      </c>
      <c r="G42" s="458">
        <v>1</v>
      </c>
      <c r="H42" s="575">
        <v>0</v>
      </c>
      <c r="I42" s="575">
        <v>0</v>
      </c>
      <c r="J42" s="575">
        <v>0</v>
      </c>
      <c r="K42" s="575">
        <v>0</v>
      </c>
      <c r="L42" s="575">
        <v>0</v>
      </c>
      <c r="M42" s="575">
        <v>0</v>
      </c>
      <c r="N42" s="575">
        <v>0</v>
      </c>
      <c r="O42" s="458">
        <v>1</v>
      </c>
      <c r="P42" s="458">
        <v>1</v>
      </c>
      <c r="Q42" s="458">
        <v>1</v>
      </c>
      <c r="R42" s="458">
        <v>1</v>
      </c>
      <c r="S42" s="458">
        <v>1</v>
      </c>
      <c r="T42" s="458">
        <v>1</v>
      </c>
      <c r="U42" s="458">
        <v>1</v>
      </c>
      <c r="V42" s="458">
        <v>1</v>
      </c>
      <c r="W42" s="458">
        <v>1</v>
      </c>
      <c r="X42" s="458">
        <v>1</v>
      </c>
      <c r="Y42" s="458">
        <v>1</v>
      </c>
      <c r="Z42" s="458">
        <v>1</v>
      </c>
      <c r="AA42" s="458">
        <v>1</v>
      </c>
      <c r="AB42" s="458">
        <v>1</v>
      </c>
      <c r="AC42" s="458">
        <v>1</v>
      </c>
      <c r="AD42" s="458">
        <v>1</v>
      </c>
      <c r="AE42" s="458">
        <v>1</v>
      </c>
      <c r="AF42" s="458">
        <v>1</v>
      </c>
    </row>
    <row r="43" spans="1:32" ht="15" x14ac:dyDescent="0.3">
      <c r="A43" s="685"/>
      <c r="B43" s="449">
        <v>41</v>
      </c>
      <c r="C43" s="447" t="s">
        <v>381</v>
      </c>
      <c r="D43" s="453">
        <v>45540</v>
      </c>
      <c r="E43" s="451" t="s">
        <v>157</v>
      </c>
      <c r="F43" s="453">
        <v>45540</v>
      </c>
      <c r="G43" s="454">
        <v>1</v>
      </c>
      <c r="H43" s="575">
        <v>0</v>
      </c>
      <c r="I43" s="575">
        <v>0</v>
      </c>
      <c r="J43" s="575">
        <v>0</v>
      </c>
      <c r="K43" s="575">
        <v>0</v>
      </c>
      <c r="L43" s="575">
        <v>0</v>
      </c>
      <c r="M43" s="575">
        <v>0</v>
      </c>
      <c r="N43" s="575">
        <v>0</v>
      </c>
      <c r="O43" s="454">
        <v>1</v>
      </c>
      <c r="P43" s="454">
        <v>1</v>
      </c>
      <c r="Q43" s="454">
        <v>1</v>
      </c>
      <c r="R43" s="454">
        <v>1</v>
      </c>
      <c r="S43" s="454">
        <v>1</v>
      </c>
      <c r="T43" s="454">
        <v>1</v>
      </c>
      <c r="U43" s="454">
        <v>1</v>
      </c>
      <c r="V43" s="454">
        <v>1</v>
      </c>
      <c r="W43" s="454">
        <v>1</v>
      </c>
      <c r="X43" s="454">
        <v>1</v>
      </c>
      <c r="Y43" s="454">
        <v>1</v>
      </c>
      <c r="Z43" s="454">
        <v>1</v>
      </c>
      <c r="AA43" s="454">
        <v>1</v>
      </c>
      <c r="AB43" s="454">
        <v>1</v>
      </c>
      <c r="AC43" s="454">
        <v>1</v>
      </c>
      <c r="AD43" s="454">
        <v>1</v>
      </c>
      <c r="AE43" s="454">
        <v>1</v>
      </c>
      <c r="AF43" s="454">
        <v>1</v>
      </c>
    </row>
    <row r="44" spans="1:32" ht="15" x14ac:dyDescent="0.3">
      <c r="A44" s="685"/>
      <c r="B44" s="449">
        <v>42</v>
      </c>
      <c r="C44" s="447" t="s">
        <v>382</v>
      </c>
      <c r="D44" s="453">
        <v>45540</v>
      </c>
      <c r="E44" s="451" t="s">
        <v>157</v>
      </c>
      <c r="F44" s="453">
        <v>45540</v>
      </c>
      <c r="G44" s="454">
        <v>1</v>
      </c>
      <c r="H44" s="575">
        <v>0</v>
      </c>
      <c r="I44" s="575">
        <v>0</v>
      </c>
      <c r="J44" s="575">
        <v>0</v>
      </c>
      <c r="K44" s="575">
        <v>0</v>
      </c>
      <c r="L44" s="575">
        <v>0</v>
      </c>
      <c r="M44" s="575">
        <v>0</v>
      </c>
      <c r="N44" s="575">
        <v>0</v>
      </c>
      <c r="O44" s="454">
        <v>1</v>
      </c>
      <c r="P44" s="454">
        <v>1</v>
      </c>
      <c r="Q44" s="454">
        <v>1</v>
      </c>
      <c r="R44" s="454">
        <v>1</v>
      </c>
      <c r="S44" s="454">
        <v>1</v>
      </c>
      <c r="T44" s="454">
        <v>1</v>
      </c>
      <c r="U44" s="454">
        <v>1</v>
      </c>
      <c r="V44" s="454">
        <v>1</v>
      </c>
      <c r="W44" s="454">
        <v>1</v>
      </c>
      <c r="X44" s="454">
        <v>1</v>
      </c>
      <c r="Y44" s="454">
        <v>1</v>
      </c>
      <c r="Z44" s="454">
        <v>1</v>
      </c>
      <c r="AA44" s="454">
        <v>1</v>
      </c>
      <c r="AB44" s="454">
        <v>1</v>
      </c>
      <c r="AC44" s="454">
        <v>1</v>
      </c>
      <c r="AD44" s="454">
        <v>1</v>
      </c>
      <c r="AE44" s="454">
        <v>1</v>
      </c>
      <c r="AF44" s="454">
        <v>1</v>
      </c>
    </row>
    <row r="45" spans="1:32" ht="15" x14ac:dyDescent="0.3">
      <c r="A45" s="685"/>
      <c r="B45" s="449">
        <v>43</v>
      </c>
      <c r="C45" s="447" t="s">
        <v>383</v>
      </c>
      <c r="D45" s="453">
        <v>45545</v>
      </c>
      <c r="E45" s="451" t="s">
        <v>157</v>
      </c>
      <c r="F45" s="453">
        <v>45545</v>
      </c>
      <c r="G45" s="454">
        <v>1</v>
      </c>
      <c r="H45" s="575">
        <v>0</v>
      </c>
      <c r="I45" s="575">
        <v>0</v>
      </c>
      <c r="J45" s="575">
        <v>0</v>
      </c>
      <c r="K45" s="575">
        <v>0</v>
      </c>
      <c r="L45" s="575">
        <v>0</v>
      </c>
      <c r="M45" s="575">
        <v>0</v>
      </c>
      <c r="N45" s="575">
        <v>0</v>
      </c>
      <c r="O45" s="454">
        <v>1</v>
      </c>
      <c r="P45" s="454">
        <v>1</v>
      </c>
      <c r="Q45" s="454">
        <v>1</v>
      </c>
      <c r="R45" s="454">
        <v>1</v>
      </c>
      <c r="S45" s="454">
        <v>1</v>
      </c>
      <c r="T45" s="454">
        <v>1</v>
      </c>
      <c r="U45" s="454">
        <v>1</v>
      </c>
      <c r="V45" s="454">
        <v>1</v>
      </c>
      <c r="W45" s="454">
        <v>1</v>
      </c>
      <c r="X45" s="454">
        <v>1</v>
      </c>
      <c r="Y45" s="454">
        <v>1</v>
      </c>
      <c r="Z45" s="454">
        <v>1</v>
      </c>
      <c r="AA45" s="454">
        <v>1</v>
      </c>
      <c r="AB45" s="454">
        <v>1</v>
      </c>
      <c r="AC45" s="454">
        <v>1</v>
      </c>
      <c r="AD45" s="454">
        <v>1</v>
      </c>
      <c r="AE45" s="454">
        <v>1</v>
      </c>
      <c r="AF45" s="454">
        <v>1</v>
      </c>
    </row>
    <row r="46" spans="1:32" ht="15" x14ac:dyDescent="0.3">
      <c r="A46" s="685"/>
      <c r="B46" s="449">
        <v>44</v>
      </c>
      <c r="C46" s="447" t="s">
        <v>384</v>
      </c>
      <c r="D46" s="453">
        <v>45545</v>
      </c>
      <c r="E46" s="451" t="s">
        <v>157</v>
      </c>
      <c r="F46" s="453">
        <v>45545</v>
      </c>
      <c r="G46" s="454">
        <v>1</v>
      </c>
      <c r="H46" s="575">
        <v>0</v>
      </c>
      <c r="I46" s="575">
        <v>0</v>
      </c>
      <c r="J46" s="575">
        <v>0</v>
      </c>
      <c r="K46" s="575">
        <v>0</v>
      </c>
      <c r="L46" s="575">
        <v>0</v>
      </c>
      <c r="M46" s="575">
        <v>0</v>
      </c>
      <c r="N46" s="575">
        <v>0</v>
      </c>
      <c r="O46" s="454">
        <v>1</v>
      </c>
      <c r="P46" s="454">
        <v>1</v>
      </c>
      <c r="Q46" s="454">
        <v>1</v>
      </c>
      <c r="R46" s="454">
        <v>1</v>
      </c>
      <c r="S46" s="454">
        <v>1</v>
      </c>
      <c r="T46" s="454">
        <v>1</v>
      </c>
      <c r="U46" s="454">
        <v>1</v>
      </c>
      <c r="V46" s="454">
        <v>1</v>
      </c>
      <c r="W46" s="454">
        <v>1</v>
      </c>
      <c r="X46" s="454">
        <v>1</v>
      </c>
      <c r="Y46" s="454">
        <v>1</v>
      </c>
      <c r="Z46" s="454">
        <v>1</v>
      </c>
      <c r="AA46" s="454">
        <v>1</v>
      </c>
      <c r="AB46" s="454">
        <v>1</v>
      </c>
      <c r="AC46" s="454">
        <v>1</v>
      </c>
      <c r="AD46" s="454">
        <v>1</v>
      </c>
      <c r="AE46" s="454">
        <v>1</v>
      </c>
      <c r="AF46" s="454">
        <v>1</v>
      </c>
    </row>
    <row r="47" spans="1:32" ht="15.6" thickBot="1" x14ac:dyDescent="0.35">
      <c r="A47" s="685"/>
      <c r="B47" s="450">
        <v>45</v>
      </c>
      <c r="C47" s="459" t="s">
        <v>385</v>
      </c>
      <c r="D47" s="462">
        <v>45545</v>
      </c>
      <c r="E47" s="455" t="s">
        <v>157</v>
      </c>
      <c r="F47" s="462">
        <v>45545</v>
      </c>
      <c r="G47" s="456">
        <v>1</v>
      </c>
      <c r="H47" s="612">
        <v>0</v>
      </c>
      <c r="I47" s="613">
        <v>0</v>
      </c>
      <c r="J47" s="613">
        <v>0</v>
      </c>
      <c r="K47" s="613">
        <v>0</v>
      </c>
      <c r="L47" s="613">
        <v>0</v>
      </c>
      <c r="M47" s="613">
        <v>0</v>
      </c>
      <c r="N47" s="613">
        <v>0</v>
      </c>
      <c r="O47" s="456">
        <v>1</v>
      </c>
      <c r="P47" s="456">
        <v>1</v>
      </c>
      <c r="Q47" s="456">
        <v>1</v>
      </c>
      <c r="R47" s="456">
        <v>1</v>
      </c>
      <c r="S47" s="456">
        <v>1</v>
      </c>
      <c r="T47" s="456">
        <v>1</v>
      </c>
      <c r="U47" s="456">
        <v>1</v>
      </c>
      <c r="V47" s="456">
        <v>1</v>
      </c>
      <c r="W47" s="456">
        <v>1</v>
      </c>
      <c r="X47" s="456">
        <v>1</v>
      </c>
      <c r="Y47" s="456">
        <v>1</v>
      </c>
      <c r="Z47" s="456">
        <v>1</v>
      </c>
      <c r="AA47" s="456">
        <v>1</v>
      </c>
      <c r="AB47" s="456">
        <v>1</v>
      </c>
      <c r="AC47" s="456">
        <v>1</v>
      </c>
      <c r="AD47" s="456">
        <v>1</v>
      </c>
      <c r="AE47" s="456">
        <v>1</v>
      </c>
      <c r="AF47" s="456">
        <v>1</v>
      </c>
    </row>
    <row r="48" spans="1:32" ht="15" x14ac:dyDescent="0.3">
      <c r="A48" s="685" t="s">
        <v>300</v>
      </c>
      <c r="B48" s="460">
        <v>46</v>
      </c>
      <c r="C48" s="461" t="s">
        <v>386</v>
      </c>
      <c r="D48" s="463">
        <v>45555</v>
      </c>
      <c r="E48" s="457" t="s">
        <v>157</v>
      </c>
      <c r="F48" s="463">
        <v>45555</v>
      </c>
      <c r="G48" s="458">
        <v>1</v>
      </c>
      <c r="H48" s="575">
        <v>0</v>
      </c>
      <c r="I48" s="575">
        <v>0</v>
      </c>
      <c r="J48" s="575">
        <v>0</v>
      </c>
      <c r="K48" s="575">
        <v>0</v>
      </c>
      <c r="L48" s="575">
        <v>0</v>
      </c>
      <c r="M48" s="575">
        <v>0</v>
      </c>
      <c r="N48" s="575">
        <v>0</v>
      </c>
      <c r="O48" s="458">
        <v>1</v>
      </c>
      <c r="P48" s="458">
        <v>1</v>
      </c>
      <c r="Q48" s="458">
        <v>1</v>
      </c>
      <c r="R48" s="458">
        <v>1</v>
      </c>
      <c r="S48" s="458">
        <v>1</v>
      </c>
      <c r="T48" s="458">
        <v>1</v>
      </c>
      <c r="U48" s="458">
        <v>1</v>
      </c>
      <c r="V48" s="458">
        <v>1</v>
      </c>
      <c r="W48" s="458">
        <v>1</v>
      </c>
      <c r="X48" s="458">
        <v>1</v>
      </c>
      <c r="Y48" s="458">
        <v>1</v>
      </c>
      <c r="Z48" s="458">
        <v>1</v>
      </c>
      <c r="AA48" s="458">
        <v>1</v>
      </c>
      <c r="AB48" s="458">
        <v>1</v>
      </c>
      <c r="AC48" s="458">
        <v>1</v>
      </c>
      <c r="AD48" s="458">
        <v>1</v>
      </c>
      <c r="AE48" s="458">
        <v>1</v>
      </c>
      <c r="AF48" s="458">
        <v>1</v>
      </c>
    </row>
    <row r="49" spans="1:32" ht="15" x14ac:dyDescent="0.3">
      <c r="A49" s="685"/>
      <c r="B49" s="449">
        <v>47</v>
      </c>
      <c r="C49" s="447" t="s">
        <v>387</v>
      </c>
      <c r="D49" s="453">
        <v>45555</v>
      </c>
      <c r="E49" s="451" t="s">
        <v>157</v>
      </c>
      <c r="F49" s="453">
        <v>45555</v>
      </c>
      <c r="G49" s="454">
        <v>1</v>
      </c>
      <c r="H49" s="575">
        <v>0</v>
      </c>
      <c r="I49" s="575">
        <v>0</v>
      </c>
      <c r="J49" s="575">
        <v>0</v>
      </c>
      <c r="K49" s="575">
        <v>0</v>
      </c>
      <c r="L49" s="575">
        <v>0</v>
      </c>
      <c r="M49" s="575">
        <v>0</v>
      </c>
      <c r="N49" s="575">
        <v>0</v>
      </c>
      <c r="O49" s="454">
        <v>1</v>
      </c>
      <c r="P49" s="454">
        <v>1</v>
      </c>
      <c r="Q49" s="454">
        <v>1</v>
      </c>
      <c r="R49" s="454">
        <v>1</v>
      </c>
      <c r="S49" s="454">
        <v>1</v>
      </c>
      <c r="T49" s="454">
        <v>1</v>
      </c>
      <c r="U49" s="454">
        <v>1</v>
      </c>
      <c r="V49" s="454">
        <v>1</v>
      </c>
      <c r="W49" s="454">
        <v>1</v>
      </c>
      <c r="X49" s="454">
        <v>1</v>
      </c>
      <c r="Y49" s="454">
        <v>1</v>
      </c>
      <c r="Z49" s="454">
        <v>1</v>
      </c>
      <c r="AA49" s="454">
        <v>1</v>
      </c>
      <c r="AB49" s="454">
        <v>1</v>
      </c>
      <c r="AC49" s="454">
        <v>1</v>
      </c>
      <c r="AD49" s="454">
        <v>1</v>
      </c>
      <c r="AE49" s="454">
        <v>1</v>
      </c>
      <c r="AF49" s="454">
        <v>1</v>
      </c>
    </row>
    <row r="50" spans="1:32" ht="15" x14ac:dyDescent="0.3">
      <c r="A50" s="685"/>
      <c r="B50" s="449">
        <v>48</v>
      </c>
      <c r="C50" s="447" t="s">
        <v>388</v>
      </c>
      <c r="D50" s="453">
        <v>45555</v>
      </c>
      <c r="E50" s="451" t="s">
        <v>157</v>
      </c>
      <c r="F50" s="453">
        <v>45555</v>
      </c>
      <c r="G50" s="454">
        <v>1</v>
      </c>
      <c r="H50" s="575">
        <v>0</v>
      </c>
      <c r="I50" s="575">
        <v>0</v>
      </c>
      <c r="J50" s="575">
        <v>0</v>
      </c>
      <c r="K50" s="575">
        <v>0</v>
      </c>
      <c r="L50" s="575">
        <v>0</v>
      </c>
      <c r="M50" s="575">
        <v>0</v>
      </c>
      <c r="N50" s="575">
        <v>0</v>
      </c>
      <c r="O50" s="454">
        <v>1</v>
      </c>
      <c r="P50" s="454">
        <v>1</v>
      </c>
      <c r="Q50" s="454">
        <v>1</v>
      </c>
      <c r="R50" s="454">
        <v>1</v>
      </c>
      <c r="S50" s="454">
        <v>1</v>
      </c>
      <c r="T50" s="454">
        <v>1</v>
      </c>
      <c r="U50" s="454">
        <v>1</v>
      </c>
      <c r="V50" s="454">
        <v>1</v>
      </c>
      <c r="W50" s="454">
        <v>1</v>
      </c>
      <c r="X50" s="454">
        <v>1</v>
      </c>
      <c r="Y50" s="454">
        <v>1</v>
      </c>
      <c r="Z50" s="454">
        <v>1</v>
      </c>
      <c r="AA50" s="454">
        <v>1</v>
      </c>
      <c r="AB50" s="454">
        <v>1</v>
      </c>
      <c r="AC50" s="454">
        <v>1</v>
      </c>
      <c r="AD50" s="454">
        <v>1</v>
      </c>
      <c r="AE50" s="454">
        <v>1</v>
      </c>
      <c r="AF50" s="454">
        <v>1</v>
      </c>
    </row>
    <row r="51" spans="1:32" ht="15" x14ac:dyDescent="0.3">
      <c r="A51" s="685"/>
      <c r="B51" s="449">
        <v>49</v>
      </c>
      <c r="C51" s="447" t="s">
        <v>389</v>
      </c>
      <c r="D51" s="453">
        <v>45573</v>
      </c>
      <c r="E51" s="451" t="s">
        <v>157</v>
      </c>
      <c r="F51" s="453">
        <v>45582</v>
      </c>
      <c r="G51" s="454">
        <v>1</v>
      </c>
      <c r="H51" s="575">
        <v>0</v>
      </c>
      <c r="I51" s="575">
        <v>0</v>
      </c>
      <c r="J51" s="575">
        <v>0</v>
      </c>
      <c r="K51" s="575">
        <v>0</v>
      </c>
      <c r="L51" s="575">
        <v>0</v>
      </c>
      <c r="M51" s="575">
        <v>0</v>
      </c>
      <c r="N51" s="575">
        <v>0</v>
      </c>
      <c r="O51" s="575">
        <v>0</v>
      </c>
      <c r="P51" s="575">
        <v>0</v>
      </c>
      <c r="Q51" s="454">
        <v>1</v>
      </c>
      <c r="R51" s="454">
        <v>1</v>
      </c>
      <c r="S51" s="454">
        <v>1</v>
      </c>
      <c r="T51" s="454">
        <v>1</v>
      </c>
      <c r="U51" s="454">
        <v>1</v>
      </c>
      <c r="V51" s="454">
        <v>1</v>
      </c>
      <c r="W51" s="454">
        <v>1</v>
      </c>
      <c r="X51" s="454">
        <v>1</v>
      </c>
      <c r="Y51" s="454">
        <v>1</v>
      </c>
      <c r="Z51" s="454">
        <v>1</v>
      </c>
      <c r="AA51" s="454">
        <v>1</v>
      </c>
      <c r="AB51" s="454">
        <v>1</v>
      </c>
      <c r="AC51" s="454">
        <v>1</v>
      </c>
      <c r="AD51" s="454">
        <v>1</v>
      </c>
      <c r="AE51" s="454">
        <v>1</v>
      </c>
      <c r="AF51" s="454">
        <v>1</v>
      </c>
    </row>
    <row r="52" spans="1:32" ht="15" x14ac:dyDescent="0.3">
      <c r="A52" s="685"/>
      <c r="B52" s="449">
        <v>50</v>
      </c>
      <c r="C52" s="447" t="s">
        <v>390</v>
      </c>
      <c r="D52" s="453">
        <v>45573</v>
      </c>
      <c r="E52" s="451" t="s">
        <v>157</v>
      </c>
      <c r="F52" s="453">
        <v>45582</v>
      </c>
      <c r="G52" s="454">
        <v>1</v>
      </c>
      <c r="H52" s="575">
        <v>0</v>
      </c>
      <c r="I52" s="575">
        <v>0</v>
      </c>
      <c r="J52" s="575">
        <v>0</v>
      </c>
      <c r="K52" s="575">
        <v>0</v>
      </c>
      <c r="L52" s="575">
        <v>0</v>
      </c>
      <c r="M52" s="575">
        <v>0</v>
      </c>
      <c r="N52" s="575">
        <v>0</v>
      </c>
      <c r="O52" s="575">
        <v>0</v>
      </c>
      <c r="P52" s="575">
        <v>0</v>
      </c>
      <c r="Q52" s="454">
        <v>1</v>
      </c>
      <c r="R52" s="454">
        <v>1</v>
      </c>
      <c r="S52" s="454">
        <v>1</v>
      </c>
      <c r="T52" s="454">
        <v>1</v>
      </c>
      <c r="U52" s="454">
        <v>1</v>
      </c>
      <c r="V52" s="454">
        <v>1</v>
      </c>
      <c r="W52" s="454">
        <v>1</v>
      </c>
      <c r="X52" s="454">
        <v>1</v>
      </c>
      <c r="Y52" s="454">
        <v>1</v>
      </c>
      <c r="Z52" s="454">
        <v>1</v>
      </c>
      <c r="AA52" s="454">
        <v>1</v>
      </c>
      <c r="AB52" s="454">
        <v>1</v>
      </c>
      <c r="AC52" s="454">
        <v>1</v>
      </c>
      <c r="AD52" s="454">
        <v>1</v>
      </c>
      <c r="AE52" s="454">
        <v>1</v>
      </c>
      <c r="AF52" s="454">
        <v>1</v>
      </c>
    </row>
    <row r="53" spans="1:32" ht="15.6" thickBot="1" x14ac:dyDescent="0.35">
      <c r="A53" s="685"/>
      <c r="B53" s="450">
        <v>51</v>
      </c>
      <c r="C53" s="459" t="s">
        <v>391</v>
      </c>
      <c r="D53" s="462">
        <v>45573</v>
      </c>
      <c r="E53" s="455" t="s">
        <v>157</v>
      </c>
      <c r="F53" s="462">
        <v>45582</v>
      </c>
      <c r="G53" s="456">
        <v>1</v>
      </c>
      <c r="H53" s="612">
        <v>0</v>
      </c>
      <c r="I53" s="613">
        <v>0</v>
      </c>
      <c r="J53" s="613">
        <v>0</v>
      </c>
      <c r="K53" s="613">
        <v>0</v>
      </c>
      <c r="L53" s="613">
        <v>0</v>
      </c>
      <c r="M53" s="613">
        <v>0</v>
      </c>
      <c r="N53" s="613">
        <v>0</v>
      </c>
      <c r="O53" s="613">
        <v>0</v>
      </c>
      <c r="P53" s="613">
        <v>0</v>
      </c>
      <c r="Q53" s="456">
        <v>1</v>
      </c>
      <c r="R53" s="456">
        <v>1</v>
      </c>
      <c r="S53" s="456">
        <v>1</v>
      </c>
      <c r="T53" s="456">
        <v>1</v>
      </c>
      <c r="U53" s="456">
        <v>1</v>
      </c>
      <c r="V53" s="456">
        <v>1</v>
      </c>
      <c r="W53" s="456">
        <v>1</v>
      </c>
      <c r="X53" s="456">
        <v>1</v>
      </c>
      <c r="Y53" s="456">
        <v>1</v>
      </c>
      <c r="Z53" s="456">
        <v>1</v>
      </c>
      <c r="AA53" s="456">
        <v>1</v>
      </c>
      <c r="AB53" s="456">
        <v>1</v>
      </c>
      <c r="AC53" s="456">
        <v>1</v>
      </c>
      <c r="AD53" s="456">
        <v>1</v>
      </c>
      <c r="AE53" s="456">
        <v>1</v>
      </c>
      <c r="AF53" s="456">
        <v>1</v>
      </c>
    </row>
    <row r="54" spans="1:32" ht="15" x14ac:dyDescent="0.3">
      <c r="A54" s="685" t="s">
        <v>301</v>
      </c>
      <c r="B54" s="460">
        <v>52</v>
      </c>
      <c r="C54" s="461" t="s">
        <v>392</v>
      </c>
      <c r="D54" s="463">
        <v>45611</v>
      </c>
      <c r="E54" s="457" t="s">
        <v>157</v>
      </c>
      <c r="F54" s="463">
        <v>45611</v>
      </c>
      <c r="G54" s="458">
        <v>1</v>
      </c>
      <c r="H54" s="575">
        <v>0</v>
      </c>
      <c r="I54" s="575">
        <v>0</v>
      </c>
      <c r="J54" s="575">
        <v>0</v>
      </c>
      <c r="K54" s="575">
        <v>0</v>
      </c>
      <c r="L54" s="575">
        <v>0</v>
      </c>
      <c r="M54" s="575">
        <v>0</v>
      </c>
      <c r="N54" s="575">
        <v>0</v>
      </c>
      <c r="O54" s="575">
        <v>0</v>
      </c>
      <c r="P54" s="575">
        <v>0</v>
      </c>
      <c r="Q54" s="458">
        <v>1</v>
      </c>
      <c r="R54" s="458">
        <v>1</v>
      </c>
      <c r="S54" s="458">
        <v>1</v>
      </c>
      <c r="T54" s="458">
        <v>1</v>
      </c>
      <c r="U54" s="458">
        <v>1</v>
      </c>
      <c r="V54" s="458">
        <v>1</v>
      </c>
      <c r="W54" s="458">
        <v>1</v>
      </c>
      <c r="X54" s="458">
        <v>1</v>
      </c>
      <c r="Y54" s="458">
        <v>1</v>
      </c>
      <c r="Z54" s="458">
        <v>1</v>
      </c>
      <c r="AA54" s="458">
        <v>1</v>
      </c>
      <c r="AB54" s="458">
        <v>1</v>
      </c>
      <c r="AC54" s="458">
        <v>1</v>
      </c>
      <c r="AD54" s="458">
        <v>1</v>
      </c>
      <c r="AE54" s="458">
        <v>1</v>
      </c>
      <c r="AF54" s="458">
        <v>1</v>
      </c>
    </row>
    <row r="55" spans="1:32" ht="15" x14ac:dyDescent="0.3">
      <c r="A55" s="685"/>
      <c r="B55" s="449">
        <v>53</v>
      </c>
      <c r="C55" s="447" t="s">
        <v>393</v>
      </c>
      <c r="D55" s="453">
        <v>45611</v>
      </c>
      <c r="E55" s="451" t="s">
        <v>157</v>
      </c>
      <c r="F55" s="453">
        <v>45611</v>
      </c>
      <c r="G55" s="454">
        <v>1</v>
      </c>
      <c r="H55" s="575">
        <v>0</v>
      </c>
      <c r="I55" s="575">
        <v>0</v>
      </c>
      <c r="J55" s="575">
        <v>0</v>
      </c>
      <c r="K55" s="575">
        <v>0</v>
      </c>
      <c r="L55" s="575">
        <v>0</v>
      </c>
      <c r="M55" s="575">
        <v>0</v>
      </c>
      <c r="N55" s="575">
        <v>0</v>
      </c>
      <c r="O55" s="575">
        <v>0</v>
      </c>
      <c r="P55" s="575">
        <v>0</v>
      </c>
      <c r="Q55" s="454">
        <v>1</v>
      </c>
      <c r="R55" s="454">
        <v>1</v>
      </c>
      <c r="S55" s="454">
        <v>1</v>
      </c>
      <c r="T55" s="454">
        <v>1</v>
      </c>
      <c r="U55" s="454">
        <v>1</v>
      </c>
      <c r="V55" s="454">
        <v>1</v>
      </c>
      <c r="W55" s="454">
        <v>1</v>
      </c>
      <c r="X55" s="454">
        <v>1</v>
      </c>
      <c r="Y55" s="454">
        <v>1</v>
      </c>
      <c r="Z55" s="454">
        <v>1</v>
      </c>
      <c r="AA55" s="454">
        <v>1</v>
      </c>
      <c r="AB55" s="454">
        <v>1</v>
      </c>
      <c r="AC55" s="454">
        <v>1</v>
      </c>
      <c r="AD55" s="454">
        <v>1</v>
      </c>
      <c r="AE55" s="454">
        <v>1</v>
      </c>
      <c r="AF55" s="454">
        <v>1</v>
      </c>
    </row>
    <row r="56" spans="1:32" ht="15" x14ac:dyDescent="0.3">
      <c r="A56" s="685"/>
      <c r="B56" s="449">
        <v>54</v>
      </c>
      <c r="C56" s="447" t="s">
        <v>394</v>
      </c>
      <c r="D56" s="453">
        <v>45611</v>
      </c>
      <c r="E56" s="451" t="s">
        <v>157</v>
      </c>
      <c r="F56" s="453">
        <v>45611</v>
      </c>
      <c r="G56" s="454">
        <v>1</v>
      </c>
      <c r="H56" s="575">
        <v>0</v>
      </c>
      <c r="I56" s="575">
        <v>0</v>
      </c>
      <c r="J56" s="575">
        <v>0</v>
      </c>
      <c r="K56" s="575">
        <v>0</v>
      </c>
      <c r="L56" s="575">
        <v>0</v>
      </c>
      <c r="M56" s="575">
        <v>0</v>
      </c>
      <c r="N56" s="575">
        <v>0</v>
      </c>
      <c r="O56" s="575">
        <v>0</v>
      </c>
      <c r="P56" s="575">
        <v>0</v>
      </c>
      <c r="Q56" s="454">
        <v>1</v>
      </c>
      <c r="R56" s="454">
        <v>1</v>
      </c>
      <c r="S56" s="454">
        <v>1</v>
      </c>
      <c r="T56" s="454">
        <v>1</v>
      </c>
      <c r="U56" s="454">
        <v>1</v>
      </c>
      <c r="V56" s="454">
        <v>1</v>
      </c>
      <c r="W56" s="454">
        <v>1</v>
      </c>
      <c r="X56" s="454">
        <v>1</v>
      </c>
      <c r="Y56" s="454">
        <v>1</v>
      </c>
      <c r="Z56" s="454">
        <v>1</v>
      </c>
      <c r="AA56" s="454">
        <v>1</v>
      </c>
      <c r="AB56" s="454">
        <v>1</v>
      </c>
      <c r="AC56" s="454">
        <v>1</v>
      </c>
      <c r="AD56" s="454">
        <v>1</v>
      </c>
      <c r="AE56" s="454">
        <v>1</v>
      </c>
      <c r="AF56" s="454">
        <v>1</v>
      </c>
    </row>
    <row r="57" spans="1:32" ht="15" x14ac:dyDescent="0.3">
      <c r="A57" s="685"/>
      <c r="B57" s="449">
        <v>55</v>
      </c>
      <c r="C57" s="447" t="s">
        <v>395</v>
      </c>
      <c r="D57" s="453">
        <v>45618</v>
      </c>
      <c r="E57" s="451" t="s">
        <v>157</v>
      </c>
      <c r="F57" s="453">
        <v>45618</v>
      </c>
      <c r="G57" s="454">
        <v>1</v>
      </c>
      <c r="H57" s="575">
        <v>0</v>
      </c>
      <c r="I57" s="575">
        <v>0</v>
      </c>
      <c r="J57" s="575">
        <v>0</v>
      </c>
      <c r="K57" s="575">
        <v>0</v>
      </c>
      <c r="L57" s="575">
        <v>0</v>
      </c>
      <c r="M57" s="575">
        <v>0</v>
      </c>
      <c r="N57" s="575">
        <v>0</v>
      </c>
      <c r="O57" s="575">
        <v>0</v>
      </c>
      <c r="P57" s="575">
        <v>0</v>
      </c>
      <c r="Q57" s="454">
        <v>1</v>
      </c>
      <c r="R57" s="454">
        <v>1</v>
      </c>
      <c r="S57" s="454">
        <v>1</v>
      </c>
      <c r="T57" s="454">
        <v>1</v>
      </c>
      <c r="U57" s="454">
        <v>1</v>
      </c>
      <c r="V57" s="454">
        <v>1</v>
      </c>
      <c r="W57" s="454">
        <v>1</v>
      </c>
      <c r="X57" s="454">
        <v>1</v>
      </c>
      <c r="Y57" s="454">
        <v>1</v>
      </c>
      <c r="Z57" s="454">
        <v>1</v>
      </c>
      <c r="AA57" s="454">
        <v>1</v>
      </c>
      <c r="AB57" s="454">
        <v>1</v>
      </c>
      <c r="AC57" s="454">
        <v>1</v>
      </c>
      <c r="AD57" s="454">
        <v>1</v>
      </c>
      <c r="AE57" s="454">
        <v>1</v>
      </c>
      <c r="AF57" s="454">
        <v>1</v>
      </c>
    </row>
    <row r="58" spans="1:32" ht="15" x14ac:dyDescent="0.3">
      <c r="A58" s="685"/>
      <c r="B58" s="449">
        <v>56</v>
      </c>
      <c r="C58" s="447" t="s">
        <v>396</v>
      </c>
      <c r="D58" s="453">
        <v>45618</v>
      </c>
      <c r="E58" s="451" t="s">
        <v>157</v>
      </c>
      <c r="F58" s="453">
        <v>45618</v>
      </c>
      <c r="G58" s="454">
        <v>1</v>
      </c>
      <c r="H58" s="575">
        <v>0</v>
      </c>
      <c r="I58" s="575">
        <v>0</v>
      </c>
      <c r="J58" s="575">
        <v>0</v>
      </c>
      <c r="K58" s="575">
        <v>0</v>
      </c>
      <c r="L58" s="575">
        <v>0</v>
      </c>
      <c r="M58" s="575">
        <v>0</v>
      </c>
      <c r="N58" s="575">
        <v>0</v>
      </c>
      <c r="O58" s="575">
        <v>0</v>
      </c>
      <c r="P58" s="575">
        <v>0</v>
      </c>
      <c r="Q58" s="454">
        <v>1</v>
      </c>
      <c r="R58" s="454">
        <v>1</v>
      </c>
      <c r="S58" s="454">
        <v>1</v>
      </c>
      <c r="T58" s="454">
        <v>1</v>
      </c>
      <c r="U58" s="454">
        <v>1</v>
      </c>
      <c r="V58" s="454">
        <v>1</v>
      </c>
      <c r="W58" s="454">
        <v>1</v>
      </c>
      <c r="X58" s="454">
        <v>1</v>
      </c>
      <c r="Y58" s="454">
        <v>1</v>
      </c>
      <c r="Z58" s="454">
        <v>1</v>
      </c>
      <c r="AA58" s="454">
        <v>1</v>
      </c>
      <c r="AB58" s="454">
        <v>1</v>
      </c>
      <c r="AC58" s="454">
        <v>1</v>
      </c>
      <c r="AD58" s="454">
        <v>1</v>
      </c>
      <c r="AE58" s="454">
        <v>1</v>
      </c>
      <c r="AF58" s="454">
        <v>1</v>
      </c>
    </row>
    <row r="59" spans="1:32" ht="15.6" thickBot="1" x14ac:dyDescent="0.35">
      <c r="A59" s="685"/>
      <c r="B59" s="450">
        <v>57</v>
      </c>
      <c r="C59" s="459" t="s">
        <v>397</v>
      </c>
      <c r="D59" s="462">
        <v>45618</v>
      </c>
      <c r="E59" s="455" t="s">
        <v>157</v>
      </c>
      <c r="F59" s="462">
        <v>45618</v>
      </c>
      <c r="G59" s="456">
        <v>1</v>
      </c>
      <c r="H59" s="612">
        <v>0</v>
      </c>
      <c r="I59" s="613">
        <v>0</v>
      </c>
      <c r="J59" s="613">
        <v>0</v>
      </c>
      <c r="K59" s="613">
        <v>0</v>
      </c>
      <c r="L59" s="613">
        <v>0</v>
      </c>
      <c r="M59" s="613">
        <v>0</v>
      </c>
      <c r="N59" s="613">
        <v>0</v>
      </c>
      <c r="O59" s="613">
        <v>0</v>
      </c>
      <c r="P59" s="613">
        <v>0</v>
      </c>
      <c r="Q59" s="456">
        <v>1</v>
      </c>
      <c r="R59" s="456">
        <v>1</v>
      </c>
      <c r="S59" s="456">
        <v>1</v>
      </c>
      <c r="T59" s="456">
        <v>1</v>
      </c>
      <c r="U59" s="456">
        <v>1</v>
      </c>
      <c r="V59" s="456">
        <v>1</v>
      </c>
      <c r="W59" s="456">
        <v>1</v>
      </c>
      <c r="X59" s="456">
        <v>1</v>
      </c>
      <c r="Y59" s="456">
        <v>1</v>
      </c>
      <c r="Z59" s="456">
        <v>1</v>
      </c>
      <c r="AA59" s="456">
        <v>1</v>
      </c>
      <c r="AB59" s="456">
        <v>1</v>
      </c>
      <c r="AC59" s="456">
        <v>1</v>
      </c>
      <c r="AD59" s="456">
        <v>1</v>
      </c>
      <c r="AE59" s="456">
        <v>1</v>
      </c>
      <c r="AF59" s="456">
        <v>1</v>
      </c>
    </row>
    <row r="60" spans="1:32" ht="15" x14ac:dyDescent="0.3">
      <c r="A60" s="685" t="s">
        <v>302</v>
      </c>
      <c r="B60" s="460">
        <v>58</v>
      </c>
      <c r="C60" s="461" t="s">
        <v>398</v>
      </c>
      <c r="D60" s="463">
        <v>45622</v>
      </c>
      <c r="E60" s="457" t="s">
        <v>157</v>
      </c>
      <c r="F60" s="574">
        <v>45629</v>
      </c>
      <c r="G60" s="458">
        <v>1</v>
      </c>
      <c r="H60" s="575">
        <v>0</v>
      </c>
      <c r="I60" s="575">
        <v>0</v>
      </c>
      <c r="J60" s="575">
        <v>0</v>
      </c>
      <c r="K60" s="575">
        <v>0</v>
      </c>
      <c r="L60" s="575">
        <v>0</v>
      </c>
      <c r="M60" s="575">
        <v>0</v>
      </c>
      <c r="N60" s="575">
        <v>0</v>
      </c>
      <c r="O60" s="575">
        <v>0</v>
      </c>
      <c r="P60" s="575">
        <v>0</v>
      </c>
      <c r="Q60" s="575">
        <v>0</v>
      </c>
      <c r="R60" s="458">
        <v>1</v>
      </c>
      <c r="S60" s="458">
        <v>1</v>
      </c>
      <c r="T60" s="458">
        <v>1</v>
      </c>
      <c r="U60" s="458">
        <v>1</v>
      </c>
      <c r="V60" s="458">
        <v>1</v>
      </c>
      <c r="W60" s="458">
        <v>1</v>
      </c>
      <c r="X60" s="458">
        <v>1</v>
      </c>
      <c r="Y60" s="458">
        <v>1</v>
      </c>
      <c r="Z60" s="458">
        <v>1</v>
      </c>
      <c r="AA60" s="458">
        <v>1</v>
      </c>
      <c r="AB60" s="458">
        <v>1</v>
      </c>
      <c r="AC60" s="458">
        <v>1</v>
      </c>
      <c r="AD60" s="458">
        <v>1</v>
      </c>
      <c r="AE60" s="458">
        <v>1</v>
      </c>
      <c r="AF60" s="458">
        <v>1</v>
      </c>
    </row>
    <row r="61" spans="1:32" ht="15" x14ac:dyDescent="0.3">
      <c r="A61" s="685"/>
      <c r="B61" s="449">
        <v>59</v>
      </c>
      <c r="C61" s="447" t="s">
        <v>399</v>
      </c>
      <c r="D61" s="453">
        <v>45622</v>
      </c>
      <c r="E61" s="451" t="s">
        <v>157</v>
      </c>
      <c r="F61" s="453">
        <v>45629</v>
      </c>
      <c r="G61" s="454">
        <v>1</v>
      </c>
      <c r="H61" s="575">
        <v>0</v>
      </c>
      <c r="I61" s="575">
        <v>0</v>
      </c>
      <c r="J61" s="575">
        <v>0</v>
      </c>
      <c r="K61" s="575">
        <v>0</v>
      </c>
      <c r="L61" s="575">
        <v>0</v>
      </c>
      <c r="M61" s="575">
        <v>0</v>
      </c>
      <c r="N61" s="575">
        <v>0</v>
      </c>
      <c r="O61" s="575">
        <v>0</v>
      </c>
      <c r="P61" s="575">
        <v>0</v>
      </c>
      <c r="Q61" s="575">
        <v>0</v>
      </c>
      <c r="R61" s="454">
        <v>1</v>
      </c>
      <c r="S61" s="454">
        <v>1</v>
      </c>
      <c r="T61" s="454">
        <v>1</v>
      </c>
      <c r="U61" s="454">
        <v>1</v>
      </c>
      <c r="V61" s="454">
        <v>1</v>
      </c>
      <c r="W61" s="454">
        <v>1</v>
      </c>
      <c r="X61" s="454">
        <v>1</v>
      </c>
      <c r="Y61" s="454">
        <v>1</v>
      </c>
      <c r="Z61" s="454">
        <v>1</v>
      </c>
      <c r="AA61" s="454">
        <v>1</v>
      </c>
      <c r="AB61" s="454">
        <v>1</v>
      </c>
      <c r="AC61" s="454">
        <v>1</v>
      </c>
      <c r="AD61" s="454">
        <v>1</v>
      </c>
      <c r="AE61" s="454">
        <v>1</v>
      </c>
      <c r="AF61" s="454">
        <v>1</v>
      </c>
    </row>
    <row r="62" spans="1:32" ht="15" x14ac:dyDescent="0.3">
      <c r="A62" s="685"/>
      <c r="B62" s="449">
        <v>60</v>
      </c>
      <c r="C62" s="447" t="s">
        <v>400</v>
      </c>
      <c r="D62" s="453">
        <v>45622</v>
      </c>
      <c r="E62" s="451" t="s">
        <v>157</v>
      </c>
      <c r="F62" s="453">
        <v>45629</v>
      </c>
      <c r="G62" s="454">
        <v>1</v>
      </c>
      <c r="H62" s="575">
        <v>0</v>
      </c>
      <c r="I62" s="575">
        <v>0</v>
      </c>
      <c r="J62" s="575">
        <v>0</v>
      </c>
      <c r="K62" s="575">
        <v>0</v>
      </c>
      <c r="L62" s="575">
        <v>0</v>
      </c>
      <c r="M62" s="575">
        <v>0</v>
      </c>
      <c r="N62" s="575">
        <v>0</v>
      </c>
      <c r="O62" s="575">
        <v>0</v>
      </c>
      <c r="P62" s="575">
        <v>0</v>
      </c>
      <c r="Q62" s="575">
        <v>0</v>
      </c>
      <c r="R62" s="454">
        <v>1</v>
      </c>
      <c r="S62" s="454">
        <v>1</v>
      </c>
      <c r="T62" s="454">
        <v>1</v>
      </c>
      <c r="U62" s="454">
        <v>1</v>
      </c>
      <c r="V62" s="454">
        <v>1</v>
      </c>
      <c r="W62" s="454">
        <v>1</v>
      </c>
      <c r="X62" s="454">
        <v>1</v>
      </c>
      <c r="Y62" s="454">
        <v>1</v>
      </c>
      <c r="Z62" s="454">
        <v>1</v>
      </c>
      <c r="AA62" s="454">
        <v>1</v>
      </c>
      <c r="AB62" s="454">
        <v>1</v>
      </c>
      <c r="AC62" s="454">
        <v>1</v>
      </c>
      <c r="AD62" s="454">
        <v>1</v>
      </c>
      <c r="AE62" s="454">
        <v>1</v>
      </c>
      <c r="AF62" s="454">
        <v>1</v>
      </c>
    </row>
    <row r="63" spans="1:32" ht="15" x14ac:dyDescent="0.3">
      <c r="A63" s="685"/>
      <c r="B63" s="449">
        <v>61</v>
      </c>
      <c r="C63" s="447" t="s">
        <v>401</v>
      </c>
      <c r="D63" s="453">
        <v>45635</v>
      </c>
      <c r="E63" s="451" t="s">
        <v>157</v>
      </c>
      <c r="F63" s="453">
        <v>45639</v>
      </c>
      <c r="G63" s="454">
        <v>1</v>
      </c>
      <c r="H63" s="575">
        <v>0</v>
      </c>
      <c r="I63" s="575">
        <v>0</v>
      </c>
      <c r="J63" s="575">
        <v>0</v>
      </c>
      <c r="K63" s="575">
        <v>0</v>
      </c>
      <c r="L63" s="575">
        <v>0</v>
      </c>
      <c r="M63" s="575">
        <v>0</v>
      </c>
      <c r="N63" s="575">
        <v>0</v>
      </c>
      <c r="O63" s="575">
        <v>0</v>
      </c>
      <c r="P63" s="575">
        <v>0</v>
      </c>
      <c r="Q63" s="575">
        <v>0</v>
      </c>
      <c r="R63" s="454">
        <v>1</v>
      </c>
      <c r="S63" s="454">
        <v>1</v>
      </c>
      <c r="T63" s="454">
        <v>1</v>
      </c>
      <c r="U63" s="454">
        <v>1</v>
      </c>
      <c r="V63" s="454">
        <v>1</v>
      </c>
      <c r="W63" s="454">
        <v>1</v>
      </c>
      <c r="X63" s="454">
        <v>1</v>
      </c>
      <c r="Y63" s="454">
        <v>1</v>
      </c>
      <c r="Z63" s="454">
        <v>1</v>
      </c>
      <c r="AA63" s="454">
        <v>1</v>
      </c>
      <c r="AB63" s="454">
        <v>1</v>
      </c>
      <c r="AC63" s="454">
        <v>1</v>
      </c>
      <c r="AD63" s="454">
        <v>1</v>
      </c>
      <c r="AE63" s="454">
        <v>1</v>
      </c>
      <c r="AF63" s="454">
        <v>1</v>
      </c>
    </row>
    <row r="64" spans="1:32" ht="15" x14ac:dyDescent="0.3">
      <c r="A64" s="685"/>
      <c r="B64" s="449">
        <v>62</v>
      </c>
      <c r="C64" s="447" t="s">
        <v>402</v>
      </c>
      <c r="D64" s="453">
        <v>45635</v>
      </c>
      <c r="E64" s="451" t="s">
        <v>157</v>
      </c>
      <c r="F64" s="453">
        <v>45639</v>
      </c>
      <c r="G64" s="454">
        <v>1</v>
      </c>
      <c r="H64" s="575">
        <v>0</v>
      </c>
      <c r="I64" s="575">
        <v>0</v>
      </c>
      <c r="J64" s="575">
        <v>0</v>
      </c>
      <c r="K64" s="575">
        <v>0</v>
      </c>
      <c r="L64" s="575">
        <v>0</v>
      </c>
      <c r="M64" s="575">
        <v>0</v>
      </c>
      <c r="N64" s="575">
        <v>0</v>
      </c>
      <c r="O64" s="575">
        <v>0</v>
      </c>
      <c r="P64" s="575">
        <v>0</v>
      </c>
      <c r="Q64" s="575">
        <v>0</v>
      </c>
      <c r="R64" s="454">
        <v>1</v>
      </c>
      <c r="S64" s="454">
        <v>1</v>
      </c>
      <c r="T64" s="454">
        <v>1</v>
      </c>
      <c r="U64" s="454">
        <v>1</v>
      </c>
      <c r="V64" s="454">
        <v>1</v>
      </c>
      <c r="W64" s="454">
        <v>1</v>
      </c>
      <c r="X64" s="454">
        <v>1</v>
      </c>
      <c r="Y64" s="454">
        <v>1</v>
      </c>
      <c r="Z64" s="454">
        <v>1</v>
      </c>
      <c r="AA64" s="454">
        <v>1</v>
      </c>
      <c r="AB64" s="454">
        <v>1</v>
      </c>
      <c r="AC64" s="454">
        <v>1</v>
      </c>
      <c r="AD64" s="454">
        <v>1</v>
      </c>
      <c r="AE64" s="454">
        <v>1</v>
      </c>
      <c r="AF64" s="454">
        <v>1</v>
      </c>
    </row>
    <row r="65" spans="1:32" ht="15.6" thickBot="1" x14ac:dyDescent="0.35">
      <c r="A65" s="685"/>
      <c r="B65" s="450">
        <v>63</v>
      </c>
      <c r="C65" s="459" t="s">
        <v>403</v>
      </c>
      <c r="D65" s="462">
        <v>45635</v>
      </c>
      <c r="E65" s="455" t="s">
        <v>157</v>
      </c>
      <c r="F65" s="574">
        <v>45639</v>
      </c>
      <c r="G65" s="456">
        <v>1</v>
      </c>
      <c r="H65" s="612">
        <v>0</v>
      </c>
      <c r="I65" s="613">
        <v>0</v>
      </c>
      <c r="J65" s="613">
        <v>0</v>
      </c>
      <c r="K65" s="613">
        <v>0</v>
      </c>
      <c r="L65" s="613">
        <v>0</v>
      </c>
      <c r="M65" s="613">
        <v>0</v>
      </c>
      <c r="N65" s="613">
        <v>0</v>
      </c>
      <c r="O65" s="613">
        <v>0</v>
      </c>
      <c r="P65" s="613">
        <v>0</v>
      </c>
      <c r="Q65" s="613">
        <v>0</v>
      </c>
      <c r="R65" s="456">
        <v>1</v>
      </c>
      <c r="S65" s="456">
        <v>1</v>
      </c>
      <c r="T65" s="456">
        <v>1</v>
      </c>
      <c r="U65" s="456">
        <v>1</v>
      </c>
      <c r="V65" s="456">
        <v>1</v>
      </c>
      <c r="W65" s="456">
        <v>1</v>
      </c>
      <c r="X65" s="456">
        <v>1</v>
      </c>
      <c r="Y65" s="456">
        <v>1</v>
      </c>
      <c r="Z65" s="456">
        <v>1</v>
      </c>
      <c r="AA65" s="456">
        <v>1</v>
      </c>
      <c r="AB65" s="456">
        <v>1</v>
      </c>
      <c r="AC65" s="456">
        <v>1</v>
      </c>
      <c r="AD65" s="456">
        <v>1</v>
      </c>
      <c r="AE65" s="456">
        <v>1</v>
      </c>
      <c r="AF65" s="456">
        <v>1</v>
      </c>
    </row>
    <row r="66" spans="1:32" ht="15" x14ac:dyDescent="0.3">
      <c r="A66" s="685" t="s">
        <v>240</v>
      </c>
      <c r="B66" s="460">
        <v>64</v>
      </c>
      <c r="C66" s="461" t="s">
        <v>404</v>
      </c>
      <c r="D66" s="463">
        <v>45652</v>
      </c>
      <c r="E66" s="457" t="s">
        <v>157</v>
      </c>
      <c r="F66" s="609">
        <v>45652</v>
      </c>
      <c r="G66" s="458">
        <v>1</v>
      </c>
      <c r="H66" s="575">
        <v>0</v>
      </c>
      <c r="I66" s="575">
        <v>0</v>
      </c>
      <c r="J66" s="575">
        <v>0</v>
      </c>
      <c r="K66" s="575">
        <v>0</v>
      </c>
      <c r="L66" s="575">
        <v>0</v>
      </c>
      <c r="M66" s="575">
        <v>0</v>
      </c>
      <c r="N66" s="575">
        <v>0</v>
      </c>
      <c r="O66" s="575">
        <v>0</v>
      </c>
      <c r="P66" s="575">
        <v>0</v>
      </c>
      <c r="Q66" s="575">
        <v>0</v>
      </c>
      <c r="R66" s="458">
        <v>1</v>
      </c>
      <c r="S66" s="458">
        <v>1</v>
      </c>
      <c r="T66" s="458">
        <v>1</v>
      </c>
      <c r="U66" s="458">
        <v>1</v>
      </c>
      <c r="V66" s="458">
        <v>1</v>
      </c>
      <c r="W66" s="458">
        <v>1</v>
      </c>
      <c r="X66" s="458">
        <v>1</v>
      </c>
      <c r="Y66" s="458">
        <v>1</v>
      </c>
      <c r="Z66" s="458">
        <v>1</v>
      </c>
      <c r="AA66" s="458">
        <v>1</v>
      </c>
      <c r="AB66" s="458">
        <v>1</v>
      </c>
      <c r="AC66" s="458">
        <v>1</v>
      </c>
      <c r="AD66" s="458">
        <v>1</v>
      </c>
      <c r="AE66" s="458">
        <v>1</v>
      </c>
      <c r="AF66" s="458">
        <v>1</v>
      </c>
    </row>
    <row r="67" spans="1:32" ht="15" x14ac:dyDescent="0.3">
      <c r="A67" s="685"/>
      <c r="B67" s="449">
        <v>65</v>
      </c>
      <c r="C67" s="447" t="s">
        <v>405</v>
      </c>
      <c r="D67" s="453">
        <v>45652</v>
      </c>
      <c r="E67" s="451" t="s">
        <v>157</v>
      </c>
      <c r="F67" s="453">
        <v>45652</v>
      </c>
      <c r="G67" s="454">
        <v>1</v>
      </c>
      <c r="H67" s="575">
        <v>0</v>
      </c>
      <c r="I67" s="575">
        <v>0</v>
      </c>
      <c r="J67" s="575">
        <v>0</v>
      </c>
      <c r="K67" s="575">
        <v>0</v>
      </c>
      <c r="L67" s="575">
        <v>0</v>
      </c>
      <c r="M67" s="575">
        <v>0</v>
      </c>
      <c r="N67" s="575">
        <v>0</v>
      </c>
      <c r="O67" s="575">
        <v>0</v>
      </c>
      <c r="P67" s="575">
        <v>0</v>
      </c>
      <c r="Q67" s="575">
        <v>0</v>
      </c>
      <c r="R67" s="454">
        <v>1</v>
      </c>
      <c r="S67" s="454">
        <v>1</v>
      </c>
      <c r="T67" s="454">
        <v>1</v>
      </c>
      <c r="U67" s="454">
        <v>1</v>
      </c>
      <c r="V67" s="454">
        <v>1</v>
      </c>
      <c r="W67" s="454">
        <v>1</v>
      </c>
      <c r="X67" s="454">
        <v>1</v>
      </c>
      <c r="Y67" s="454">
        <v>1</v>
      </c>
      <c r="Z67" s="454">
        <v>1</v>
      </c>
      <c r="AA67" s="454">
        <v>1</v>
      </c>
      <c r="AB67" s="454">
        <v>1</v>
      </c>
      <c r="AC67" s="454">
        <v>1</v>
      </c>
      <c r="AD67" s="454">
        <v>1</v>
      </c>
      <c r="AE67" s="454">
        <v>1</v>
      </c>
      <c r="AF67" s="454">
        <v>1</v>
      </c>
    </row>
    <row r="68" spans="1:32" ht="15" x14ac:dyDescent="0.3">
      <c r="A68" s="685"/>
      <c r="B68" s="449">
        <v>66</v>
      </c>
      <c r="C68" s="447" t="s">
        <v>406</v>
      </c>
      <c r="D68" s="453">
        <v>45652</v>
      </c>
      <c r="E68" s="451" t="s">
        <v>157</v>
      </c>
      <c r="F68" s="453">
        <v>45652</v>
      </c>
      <c r="G68" s="454">
        <v>1</v>
      </c>
      <c r="H68" s="575">
        <v>0</v>
      </c>
      <c r="I68" s="575">
        <v>0</v>
      </c>
      <c r="J68" s="575">
        <v>0</v>
      </c>
      <c r="K68" s="575">
        <v>0</v>
      </c>
      <c r="L68" s="575">
        <v>0</v>
      </c>
      <c r="M68" s="575">
        <v>0</v>
      </c>
      <c r="N68" s="575">
        <v>0</v>
      </c>
      <c r="O68" s="575">
        <v>0</v>
      </c>
      <c r="P68" s="575">
        <v>0</v>
      </c>
      <c r="Q68" s="575">
        <v>0</v>
      </c>
      <c r="R68" s="454">
        <v>1</v>
      </c>
      <c r="S68" s="454">
        <v>1</v>
      </c>
      <c r="T68" s="454">
        <v>1</v>
      </c>
      <c r="U68" s="454">
        <v>1</v>
      </c>
      <c r="V68" s="454">
        <v>1</v>
      </c>
      <c r="W68" s="454">
        <v>1</v>
      </c>
      <c r="X68" s="454">
        <v>1</v>
      </c>
      <c r="Y68" s="454">
        <v>1</v>
      </c>
      <c r="Z68" s="454">
        <v>1</v>
      </c>
      <c r="AA68" s="454">
        <v>1</v>
      </c>
      <c r="AB68" s="454">
        <v>1</v>
      </c>
      <c r="AC68" s="454">
        <v>1</v>
      </c>
      <c r="AD68" s="454">
        <v>1</v>
      </c>
      <c r="AE68" s="454">
        <v>1</v>
      </c>
      <c r="AF68" s="454">
        <v>1</v>
      </c>
    </row>
    <row r="69" spans="1:32" ht="15" x14ac:dyDescent="0.3">
      <c r="A69" s="685"/>
      <c r="B69" s="449">
        <v>67</v>
      </c>
      <c r="C69" s="447" t="s">
        <v>407</v>
      </c>
      <c r="D69" s="453">
        <v>45665</v>
      </c>
      <c r="E69" s="451" t="s">
        <v>157</v>
      </c>
      <c r="F69" s="453">
        <v>45666</v>
      </c>
      <c r="G69" s="454">
        <v>1</v>
      </c>
      <c r="H69" s="575">
        <v>0</v>
      </c>
      <c r="I69" s="575">
        <v>0</v>
      </c>
      <c r="J69" s="575">
        <v>0</v>
      </c>
      <c r="K69" s="575">
        <v>0</v>
      </c>
      <c r="L69" s="575">
        <v>0</v>
      </c>
      <c r="M69" s="575">
        <v>0</v>
      </c>
      <c r="N69" s="575">
        <v>0</v>
      </c>
      <c r="O69" s="575">
        <v>0</v>
      </c>
      <c r="P69" s="575">
        <v>0</v>
      </c>
      <c r="Q69" s="575">
        <v>0</v>
      </c>
      <c r="R69" s="575">
        <v>0</v>
      </c>
      <c r="S69" s="454">
        <v>1</v>
      </c>
      <c r="T69" s="454">
        <v>1</v>
      </c>
      <c r="U69" s="454">
        <v>1</v>
      </c>
      <c r="V69" s="454">
        <v>1</v>
      </c>
      <c r="W69" s="454">
        <v>1</v>
      </c>
      <c r="X69" s="454">
        <v>1</v>
      </c>
      <c r="Y69" s="454">
        <v>1</v>
      </c>
      <c r="Z69" s="454">
        <v>1</v>
      </c>
      <c r="AA69" s="454">
        <v>1</v>
      </c>
      <c r="AB69" s="454">
        <v>1</v>
      </c>
      <c r="AC69" s="454">
        <v>1</v>
      </c>
      <c r="AD69" s="454">
        <v>1</v>
      </c>
      <c r="AE69" s="454">
        <v>1</v>
      </c>
      <c r="AF69" s="454">
        <v>1</v>
      </c>
    </row>
    <row r="70" spans="1:32" ht="15" x14ac:dyDescent="0.3">
      <c r="A70" s="685"/>
      <c r="B70" s="449">
        <v>68</v>
      </c>
      <c r="C70" s="447" t="s">
        <v>408</v>
      </c>
      <c r="D70" s="453">
        <v>45665</v>
      </c>
      <c r="E70" s="451" t="s">
        <v>157</v>
      </c>
      <c r="F70" s="453">
        <v>45666</v>
      </c>
      <c r="G70" s="454">
        <v>1</v>
      </c>
      <c r="H70" s="575">
        <v>0</v>
      </c>
      <c r="I70" s="575">
        <v>0</v>
      </c>
      <c r="J70" s="575">
        <v>0</v>
      </c>
      <c r="K70" s="575">
        <v>0</v>
      </c>
      <c r="L70" s="575">
        <v>0</v>
      </c>
      <c r="M70" s="575">
        <v>0</v>
      </c>
      <c r="N70" s="575">
        <v>0</v>
      </c>
      <c r="O70" s="575">
        <v>0</v>
      </c>
      <c r="P70" s="575">
        <v>0</v>
      </c>
      <c r="Q70" s="575">
        <v>0</v>
      </c>
      <c r="R70" s="575">
        <v>0</v>
      </c>
      <c r="S70" s="454">
        <v>1</v>
      </c>
      <c r="T70" s="454">
        <v>1</v>
      </c>
      <c r="U70" s="454">
        <v>1</v>
      </c>
      <c r="V70" s="454">
        <v>1</v>
      </c>
      <c r="W70" s="454">
        <v>1</v>
      </c>
      <c r="X70" s="454">
        <v>1</v>
      </c>
      <c r="Y70" s="454">
        <v>1</v>
      </c>
      <c r="Z70" s="454">
        <v>1</v>
      </c>
      <c r="AA70" s="454">
        <v>1</v>
      </c>
      <c r="AB70" s="454">
        <v>1</v>
      </c>
      <c r="AC70" s="454">
        <v>1</v>
      </c>
      <c r="AD70" s="454">
        <v>1</v>
      </c>
      <c r="AE70" s="454">
        <v>1</v>
      </c>
      <c r="AF70" s="454">
        <v>1</v>
      </c>
    </row>
    <row r="71" spans="1:32" ht="15.6" thickBot="1" x14ac:dyDescent="0.35">
      <c r="A71" s="685"/>
      <c r="B71" s="450">
        <v>69</v>
      </c>
      <c r="C71" s="459" t="s">
        <v>409</v>
      </c>
      <c r="D71" s="453">
        <v>45665</v>
      </c>
      <c r="E71" s="455" t="s">
        <v>157</v>
      </c>
      <c r="F71" s="462">
        <v>45666</v>
      </c>
      <c r="G71" s="456">
        <v>1</v>
      </c>
      <c r="H71" s="612">
        <v>0</v>
      </c>
      <c r="I71" s="613">
        <v>0</v>
      </c>
      <c r="J71" s="613">
        <v>0</v>
      </c>
      <c r="K71" s="613">
        <v>0</v>
      </c>
      <c r="L71" s="613">
        <v>0</v>
      </c>
      <c r="M71" s="613">
        <v>0</v>
      </c>
      <c r="N71" s="613">
        <v>0</v>
      </c>
      <c r="O71" s="613">
        <v>0</v>
      </c>
      <c r="P71" s="613">
        <v>0</v>
      </c>
      <c r="Q71" s="613">
        <v>0</v>
      </c>
      <c r="R71" s="613">
        <v>0</v>
      </c>
      <c r="S71" s="456">
        <v>1</v>
      </c>
      <c r="T71" s="456">
        <v>1</v>
      </c>
      <c r="U71" s="456">
        <v>1</v>
      </c>
      <c r="V71" s="456">
        <v>1</v>
      </c>
      <c r="W71" s="456">
        <v>1</v>
      </c>
      <c r="X71" s="456">
        <v>1</v>
      </c>
      <c r="Y71" s="456">
        <v>1</v>
      </c>
      <c r="Z71" s="456">
        <v>1</v>
      </c>
      <c r="AA71" s="456">
        <v>1</v>
      </c>
      <c r="AB71" s="456">
        <v>1</v>
      </c>
      <c r="AC71" s="456">
        <v>1</v>
      </c>
      <c r="AD71" s="456">
        <v>1</v>
      </c>
      <c r="AE71" s="456">
        <v>1</v>
      </c>
      <c r="AF71" s="456">
        <v>1</v>
      </c>
    </row>
    <row r="72" spans="1:32" ht="15" x14ac:dyDescent="0.3">
      <c r="A72" s="685" t="s">
        <v>303</v>
      </c>
      <c r="B72" s="460">
        <v>70</v>
      </c>
      <c r="C72" s="461" t="s">
        <v>410</v>
      </c>
      <c r="D72" s="453">
        <v>45685</v>
      </c>
      <c r="E72" s="457" t="s">
        <v>157</v>
      </c>
      <c r="F72" s="608">
        <v>45685</v>
      </c>
      <c r="G72" s="458">
        <v>1</v>
      </c>
      <c r="H72" s="575">
        <v>0</v>
      </c>
      <c r="I72" s="575">
        <v>0</v>
      </c>
      <c r="J72" s="575">
        <v>0</v>
      </c>
      <c r="K72" s="575">
        <v>0</v>
      </c>
      <c r="L72" s="575">
        <v>0</v>
      </c>
      <c r="M72" s="575">
        <v>0</v>
      </c>
      <c r="N72" s="575">
        <v>0</v>
      </c>
      <c r="O72" s="575">
        <v>0</v>
      </c>
      <c r="P72" s="575">
        <v>0</v>
      </c>
      <c r="Q72" s="575">
        <v>0</v>
      </c>
      <c r="R72" s="575">
        <v>0</v>
      </c>
      <c r="S72" s="458">
        <v>1</v>
      </c>
      <c r="T72" s="458">
        <v>1</v>
      </c>
      <c r="U72" s="458">
        <v>1</v>
      </c>
      <c r="V72" s="458">
        <v>1</v>
      </c>
      <c r="W72" s="458">
        <v>1</v>
      </c>
      <c r="X72" s="458">
        <v>1</v>
      </c>
      <c r="Y72" s="458">
        <v>1</v>
      </c>
      <c r="Z72" s="458">
        <v>1</v>
      </c>
      <c r="AA72" s="458">
        <v>1</v>
      </c>
      <c r="AB72" s="458">
        <v>1</v>
      </c>
      <c r="AC72" s="458">
        <v>1</v>
      </c>
      <c r="AD72" s="458">
        <v>1</v>
      </c>
      <c r="AE72" s="458">
        <v>1</v>
      </c>
      <c r="AF72" s="458">
        <v>1</v>
      </c>
    </row>
    <row r="73" spans="1:32" ht="15" x14ac:dyDescent="0.3">
      <c r="A73" s="685"/>
      <c r="B73" s="449">
        <v>71</v>
      </c>
      <c r="C73" s="447" t="s">
        <v>411</v>
      </c>
      <c r="D73" s="453">
        <v>45685</v>
      </c>
      <c r="E73" s="451" t="s">
        <v>157</v>
      </c>
      <c r="F73" s="453">
        <v>45685</v>
      </c>
      <c r="G73" s="454">
        <v>1</v>
      </c>
      <c r="H73" s="575">
        <v>0</v>
      </c>
      <c r="I73" s="575">
        <v>0</v>
      </c>
      <c r="J73" s="575">
        <v>0</v>
      </c>
      <c r="K73" s="575">
        <v>0</v>
      </c>
      <c r="L73" s="575">
        <v>0</v>
      </c>
      <c r="M73" s="575">
        <v>0</v>
      </c>
      <c r="N73" s="575">
        <v>0</v>
      </c>
      <c r="O73" s="575">
        <v>0</v>
      </c>
      <c r="P73" s="575">
        <v>0</v>
      </c>
      <c r="Q73" s="575">
        <v>0</v>
      </c>
      <c r="R73" s="575">
        <v>0</v>
      </c>
      <c r="S73" s="454">
        <v>1</v>
      </c>
      <c r="T73" s="454">
        <v>1</v>
      </c>
      <c r="U73" s="454">
        <v>1</v>
      </c>
      <c r="V73" s="454">
        <v>1</v>
      </c>
      <c r="W73" s="454">
        <v>1</v>
      </c>
      <c r="X73" s="454">
        <v>1</v>
      </c>
      <c r="Y73" s="454">
        <v>1</v>
      </c>
      <c r="Z73" s="454">
        <v>1</v>
      </c>
      <c r="AA73" s="454">
        <v>1</v>
      </c>
      <c r="AB73" s="454">
        <v>1</v>
      </c>
      <c r="AC73" s="454">
        <v>1</v>
      </c>
      <c r="AD73" s="454">
        <v>1</v>
      </c>
      <c r="AE73" s="454">
        <v>1</v>
      </c>
      <c r="AF73" s="454">
        <v>1</v>
      </c>
    </row>
    <row r="74" spans="1:32" ht="15" x14ac:dyDescent="0.3">
      <c r="A74" s="685"/>
      <c r="B74" s="449">
        <v>72</v>
      </c>
      <c r="C74" s="447" t="s">
        <v>412</v>
      </c>
      <c r="D74" s="453">
        <v>45685</v>
      </c>
      <c r="E74" s="451" t="s">
        <v>157</v>
      </c>
      <c r="F74" s="453">
        <v>45685</v>
      </c>
      <c r="G74" s="454">
        <v>1</v>
      </c>
      <c r="H74" s="575">
        <v>0</v>
      </c>
      <c r="I74" s="575">
        <v>0</v>
      </c>
      <c r="J74" s="575">
        <v>0</v>
      </c>
      <c r="K74" s="575">
        <v>0</v>
      </c>
      <c r="L74" s="575">
        <v>0</v>
      </c>
      <c r="M74" s="575">
        <v>0</v>
      </c>
      <c r="N74" s="575">
        <v>0</v>
      </c>
      <c r="O74" s="575">
        <v>0</v>
      </c>
      <c r="P74" s="575">
        <v>0</v>
      </c>
      <c r="Q74" s="575">
        <v>0</v>
      </c>
      <c r="R74" s="575">
        <v>0</v>
      </c>
      <c r="S74" s="454">
        <v>1</v>
      </c>
      <c r="T74" s="454">
        <v>1</v>
      </c>
      <c r="U74" s="454">
        <v>1</v>
      </c>
      <c r="V74" s="454">
        <v>1</v>
      </c>
      <c r="W74" s="454">
        <v>1</v>
      </c>
      <c r="X74" s="454">
        <v>1</v>
      </c>
      <c r="Y74" s="454">
        <v>1</v>
      </c>
      <c r="Z74" s="454">
        <v>1</v>
      </c>
      <c r="AA74" s="454">
        <v>1</v>
      </c>
      <c r="AB74" s="454">
        <v>1</v>
      </c>
      <c r="AC74" s="454">
        <v>1</v>
      </c>
      <c r="AD74" s="454">
        <v>1</v>
      </c>
      <c r="AE74" s="454">
        <v>1</v>
      </c>
      <c r="AF74" s="454">
        <v>1</v>
      </c>
    </row>
    <row r="75" spans="1:32" ht="15" x14ac:dyDescent="0.3">
      <c r="A75" s="685"/>
      <c r="B75" s="449">
        <v>73</v>
      </c>
      <c r="C75" s="447" t="s">
        <v>413</v>
      </c>
      <c r="D75" s="453">
        <v>45694</v>
      </c>
      <c r="E75" s="451" t="s">
        <v>157</v>
      </c>
      <c r="F75" s="453">
        <v>45694</v>
      </c>
      <c r="G75" s="454">
        <v>1</v>
      </c>
      <c r="H75" s="575">
        <v>0</v>
      </c>
      <c r="I75" s="575">
        <v>0</v>
      </c>
      <c r="J75" s="575">
        <v>0</v>
      </c>
      <c r="K75" s="575">
        <v>0</v>
      </c>
      <c r="L75" s="575">
        <v>0</v>
      </c>
      <c r="M75" s="575">
        <v>0</v>
      </c>
      <c r="N75" s="575">
        <v>0</v>
      </c>
      <c r="O75" s="575">
        <v>0</v>
      </c>
      <c r="P75" s="575">
        <v>0</v>
      </c>
      <c r="Q75" s="575">
        <v>0</v>
      </c>
      <c r="R75" s="575">
        <v>0</v>
      </c>
      <c r="S75" s="575">
        <v>0</v>
      </c>
      <c r="T75" s="575">
        <v>1</v>
      </c>
      <c r="U75" s="575">
        <v>1</v>
      </c>
      <c r="V75" s="575">
        <v>1</v>
      </c>
      <c r="W75" s="575">
        <v>1</v>
      </c>
      <c r="X75" s="575">
        <v>1</v>
      </c>
      <c r="Y75" s="575">
        <v>1</v>
      </c>
      <c r="Z75" s="575">
        <v>1</v>
      </c>
      <c r="AA75" s="575">
        <v>1</v>
      </c>
      <c r="AB75" s="575">
        <v>1</v>
      </c>
      <c r="AC75" s="575">
        <v>1</v>
      </c>
      <c r="AD75" s="575">
        <v>1</v>
      </c>
      <c r="AE75" s="575">
        <v>1</v>
      </c>
      <c r="AF75" s="575">
        <v>1</v>
      </c>
    </row>
    <row r="76" spans="1:32" ht="15" x14ac:dyDescent="0.3">
      <c r="A76" s="685"/>
      <c r="B76" s="449">
        <v>74</v>
      </c>
      <c r="C76" s="447" t="s">
        <v>414</v>
      </c>
      <c r="D76" s="453">
        <v>45694</v>
      </c>
      <c r="E76" s="451" t="s">
        <v>157</v>
      </c>
      <c r="F76" s="453">
        <v>45694</v>
      </c>
      <c r="G76" s="454">
        <v>1</v>
      </c>
      <c r="H76" s="575">
        <v>0</v>
      </c>
      <c r="I76" s="575">
        <v>0</v>
      </c>
      <c r="J76" s="575">
        <v>0</v>
      </c>
      <c r="K76" s="575">
        <v>0</v>
      </c>
      <c r="L76" s="575">
        <v>0</v>
      </c>
      <c r="M76" s="575">
        <v>0</v>
      </c>
      <c r="N76" s="575">
        <v>0</v>
      </c>
      <c r="O76" s="575">
        <v>0</v>
      </c>
      <c r="P76" s="575">
        <v>0</v>
      </c>
      <c r="Q76" s="575">
        <v>0</v>
      </c>
      <c r="R76" s="575">
        <v>0</v>
      </c>
      <c r="S76" s="575">
        <v>0</v>
      </c>
      <c r="T76" s="575">
        <v>1</v>
      </c>
      <c r="U76" s="575">
        <v>1</v>
      </c>
      <c r="V76" s="575">
        <v>1</v>
      </c>
      <c r="W76" s="575">
        <v>1</v>
      </c>
      <c r="X76" s="575">
        <v>1</v>
      </c>
      <c r="Y76" s="575">
        <v>1</v>
      </c>
      <c r="Z76" s="575">
        <v>1</v>
      </c>
      <c r="AA76" s="575">
        <v>1</v>
      </c>
      <c r="AB76" s="575">
        <v>1</v>
      </c>
      <c r="AC76" s="575">
        <v>1</v>
      </c>
      <c r="AD76" s="575">
        <v>1</v>
      </c>
      <c r="AE76" s="575">
        <v>1</v>
      </c>
      <c r="AF76" s="575">
        <v>1</v>
      </c>
    </row>
    <row r="77" spans="1:32" ht="15.6" thickBot="1" x14ac:dyDescent="0.35">
      <c r="A77" s="686"/>
      <c r="B77" s="450">
        <v>75</v>
      </c>
      <c r="C77" s="459" t="s">
        <v>415</v>
      </c>
      <c r="D77" s="453">
        <v>45694</v>
      </c>
      <c r="E77" s="455" t="s">
        <v>157</v>
      </c>
      <c r="F77" s="462">
        <v>45694</v>
      </c>
      <c r="G77" s="456">
        <v>1</v>
      </c>
      <c r="H77" s="612">
        <v>0</v>
      </c>
      <c r="I77" s="613">
        <v>0</v>
      </c>
      <c r="J77" s="613">
        <v>0</v>
      </c>
      <c r="K77" s="613">
        <v>0</v>
      </c>
      <c r="L77" s="613">
        <v>0</v>
      </c>
      <c r="M77" s="613">
        <v>0</v>
      </c>
      <c r="N77" s="613">
        <v>0</v>
      </c>
      <c r="O77" s="613">
        <v>0</v>
      </c>
      <c r="P77" s="613">
        <v>0</v>
      </c>
      <c r="Q77" s="613">
        <v>0</v>
      </c>
      <c r="R77" s="613">
        <v>0</v>
      </c>
      <c r="S77" s="613">
        <v>0</v>
      </c>
      <c r="T77" s="612">
        <v>1</v>
      </c>
      <c r="U77" s="613">
        <v>1</v>
      </c>
      <c r="V77" s="613">
        <v>1</v>
      </c>
      <c r="W77" s="613">
        <v>1</v>
      </c>
      <c r="X77" s="613">
        <v>1</v>
      </c>
      <c r="Y77" s="613">
        <v>1</v>
      </c>
      <c r="Z77" s="613">
        <v>1</v>
      </c>
      <c r="AA77" s="613">
        <v>1</v>
      </c>
      <c r="AB77" s="613">
        <v>1</v>
      </c>
      <c r="AC77" s="613">
        <v>1</v>
      </c>
      <c r="AD77" s="613">
        <v>1</v>
      </c>
      <c r="AE77" s="613">
        <v>1</v>
      </c>
      <c r="AF77" s="613">
        <v>1</v>
      </c>
    </row>
    <row r="78" spans="1:32" ht="15" x14ac:dyDescent="0.3">
      <c r="A78" s="687" t="s">
        <v>416</v>
      </c>
      <c r="B78" s="688" t="s">
        <v>417</v>
      </c>
      <c r="C78" s="689"/>
      <c r="D78" s="453"/>
      <c r="E78" s="453"/>
      <c r="F78" s="463"/>
      <c r="G78" s="458"/>
      <c r="H78" s="575"/>
      <c r="I78" s="575"/>
      <c r="J78" s="575"/>
      <c r="K78" s="575"/>
      <c r="L78" s="575"/>
      <c r="M78" s="575"/>
      <c r="N78" s="575"/>
      <c r="O78" s="575"/>
      <c r="P78" s="575"/>
      <c r="Q78" s="575"/>
      <c r="R78" s="575"/>
      <c r="S78" s="575"/>
      <c r="T78" s="575"/>
      <c r="U78" s="575"/>
      <c r="V78" s="575"/>
      <c r="W78" s="575"/>
      <c r="X78" s="575"/>
      <c r="Y78" s="575"/>
      <c r="Z78" s="575"/>
      <c r="AA78" s="575"/>
      <c r="AB78" s="575"/>
      <c r="AC78" s="575"/>
      <c r="AD78" s="575"/>
      <c r="AE78" s="575"/>
      <c r="AF78" s="575"/>
    </row>
    <row r="79" spans="1:32" ht="15" x14ac:dyDescent="0.3">
      <c r="A79" s="685"/>
      <c r="B79" s="449">
        <v>76</v>
      </c>
      <c r="C79" s="448" t="s">
        <v>418</v>
      </c>
      <c r="D79" s="453">
        <v>45900</v>
      </c>
      <c r="E79" s="451" t="s">
        <v>157</v>
      </c>
      <c r="F79" s="453">
        <v>45894</v>
      </c>
      <c r="G79" s="454">
        <f>MAX(H79:AF79)</f>
        <v>1</v>
      </c>
      <c r="H79" s="575">
        <v>0</v>
      </c>
      <c r="I79" s="575">
        <v>0</v>
      </c>
      <c r="J79" s="575">
        <v>0</v>
      </c>
      <c r="K79" s="575">
        <v>0</v>
      </c>
      <c r="L79" s="575">
        <v>0</v>
      </c>
      <c r="M79" s="575">
        <v>0</v>
      </c>
      <c r="N79" s="575">
        <v>0</v>
      </c>
      <c r="O79" s="575">
        <v>0</v>
      </c>
      <c r="P79" s="575">
        <v>0</v>
      </c>
      <c r="Q79" s="575">
        <v>0</v>
      </c>
      <c r="R79" s="575">
        <v>0</v>
      </c>
      <c r="S79" s="575">
        <v>0</v>
      </c>
      <c r="T79" s="575">
        <v>0</v>
      </c>
      <c r="U79" s="575">
        <v>0</v>
      </c>
      <c r="V79" s="575">
        <v>0</v>
      </c>
      <c r="W79" s="575">
        <v>0</v>
      </c>
      <c r="X79" s="575">
        <v>0</v>
      </c>
      <c r="Y79" s="575">
        <v>0</v>
      </c>
      <c r="Z79" s="575">
        <v>1</v>
      </c>
      <c r="AA79" s="575">
        <v>1</v>
      </c>
      <c r="AB79" s="575">
        <v>1</v>
      </c>
      <c r="AC79" s="575">
        <v>1</v>
      </c>
      <c r="AD79" s="575">
        <v>1</v>
      </c>
      <c r="AE79" s="575">
        <v>1</v>
      </c>
      <c r="AF79" s="575">
        <v>1</v>
      </c>
    </row>
    <row r="80" spans="1:32" ht="15" x14ac:dyDescent="0.3">
      <c r="A80" s="685"/>
      <c r="B80" s="449">
        <v>77</v>
      </c>
      <c r="C80" s="448" t="s">
        <v>419</v>
      </c>
      <c r="D80" s="453">
        <v>45900</v>
      </c>
      <c r="E80" s="451" t="s">
        <v>157</v>
      </c>
      <c r="F80" s="453">
        <f>F79</f>
        <v>45894</v>
      </c>
      <c r="G80" s="454">
        <f t="shared" ref="G80:G85" si="0">MAX(H80:AF80)</f>
        <v>1</v>
      </c>
      <c r="H80" s="575">
        <v>0</v>
      </c>
      <c r="I80" s="575">
        <v>0</v>
      </c>
      <c r="J80" s="575">
        <v>0</v>
      </c>
      <c r="K80" s="575">
        <v>0</v>
      </c>
      <c r="L80" s="575">
        <v>0</v>
      </c>
      <c r="M80" s="575">
        <v>0</v>
      </c>
      <c r="N80" s="575">
        <v>0</v>
      </c>
      <c r="O80" s="575">
        <v>0</v>
      </c>
      <c r="P80" s="575">
        <v>0</v>
      </c>
      <c r="Q80" s="575">
        <v>0</v>
      </c>
      <c r="R80" s="575">
        <v>0</v>
      </c>
      <c r="S80" s="575">
        <v>0</v>
      </c>
      <c r="T80" s="575">
        <v>0</v>
      </c>
      <c r="U80" s="575">
        <v>0</v>
      </c>
      <c r="V80" s="575">
        <v>0</v>
      </c>
      <c r="W80" s="575">
        <v>0</v>
      </c>
      <c r="X80" s="575">
        <v>0</v>
      </c>
      <c r="Y80" s="575">
        <v>0</v>
      </c>
      <c r="Z80" s="575">
        <v>1</v>
      </c>
      <c r="AA80" s="575">
        <v>1</v>
      </c>
      <c r="AB80" s="575">
        <v>1</v>
      </c>
      <c r="AC80" s="575">
        <v>1</v>
      </c>
      <c r="AD80" s="575">
        <v>1</v>
      </c>
      <c r="AE80" s="575">
        <v>1</v>
      </c>
      <c r="AF80" s="575">
        <v>1</v>
      </c>
    </row>
    <row r="81" spans="1:32" ht="15" x14ac:dyDescent="0.3">
      <c r="A81" s="685"/>
      <c r="B81" s="449">
        <v>78</v>
      </c>
      <c r="C81" s="448" t="s">
        <v>420</v>
      </c>
      <c r="D81" s="453">
        <v>45900</v>
      </c>
      <c r="E81" s="451" t="s">
        <v>157</v>
      </c>
      <c r="F81" s="453">
        <f>F80</f>
        <v>45894</v>
      </c>
      <c r="G81" s="454">
        <f t="shared" si="0"/>
        <v>1</v>
      </c>
      <c r="H81" s="575">
        <v>0</v>
      </c>
      <c r="I81" s="575">
        <v>0</v>
      </c>
      <c r="J81" s="575">
        <v>0</v>
      </c>
      <c r="K81" s="575">
        <v>0</v>
      </c>
      <c r="L81" s="575">
        <v>0</v>
      </c>
      <c r="M81" s="575">
        <v>0</v>
      </c>
      <c r="N81" s="575">
        <v>0</v>
      </c>
      <c r="O81" s="575">
        <v>0</v>
      </c>
      <c r="P81" s="575">
        <v>0</v>
      </c>
      <c r="Q81" s="575">
        <v>0</v>
      </c>
      <c r="R81" s="575">
        <v>0</v>
      </c>
      <c r="S81" s="575">
        <v>0</v>
      </c>
      <c r="T81" s="575">
        <v>0</v>
      </c>
      <c r="U81" s="575">
        <v>0</v>
      </c>
      <c r="V81" s="575">
        <v>0</v>
      </c>
      <c r="W81" s="575">
        <v>0</v>
      </c>
      <c r="X81" s="575">
        <v>0</v>
      </c>
      <c r="Y81" s="575">
        <v>0</v>
      </c>
      <c r="Z81" s="575">
        <v>1</v>
      </c>
      <c r="AA81" s="575">
        <v>1</v>
      </c>
      <c r="AB81" s="575">
        <v>1</v>
      </c>
      <c r="AC81" s="575">
        <v>1</v>
      </c>
      <c r="AD81" s="575">
        <v>1</v>
      </c>
      <c r="AE81" s="575">
        <v>1</v>
      </c>
      <c r="AF81" s="575">
        <v>1</v>
      </c>
    </row>
    <row r="82" spans="1:32" ht="15" x14ac:dyDescent="0.3">
      <c r="A82" s="685"/>
      <c r="B82" s="690" t="s">
        <v>421</v>
      </c>
      <c r="C82" s="691"/>
      <c r="D82" s="453"/>
      <c r="E82" s="453"/>
      <c r="F82" s="453"/>
      <c r="G82" s="454"/>
      <c r="H82" s="575"/>
      <c r="I82" s="575"/>
      <c r="J82" s="575"/>
      <c r="K82" s="575"/>
      <c r="L82" s="575"/>
      <c r="M82" s="575"/>
      <c r="N82" s="575"/>
      <c r="O82" s="575"/>
      <c r="P82" s="575"/>
      <c r="Q82" s="575"/>
      <c r="R82" s="575"/>
      <c r="S82" s="575"/>
      <c r="T82" s="575"/>
      <c r="U82" s="575"/>
      <c r="V82" s="575"/>
      <c r="W82" s="575"/>
      <c r="X82" s="575"/>
      <c r="Y82" s="575"/>
      <c r="Z82" s="575"/>
      <c r="AA82" s="575"/>
      <c r="AB82" s="575"/>
      <c r="AC82" s="575"/>
      <c r="AD82" s="575"/>
      <c r="AE82" s="575"/>
      <c r="AF82" s="575"/>
    </row>
    <row r="83" spans="1:32" ht="15" x14ac:dyDescent="0.3">
      <c r="A83" s="685"/>
      <c r="B83" s="449">
        <v>79</v>
      </c>
      <c r="C83" s="448" t="s">
        <v>418</v>
      </c>
      <c r="D83" s="453">
        <f>EDATE(D81,6)</f>
        <v>46081</v>
      </c>
      <c r="E83" s="451" t="s">
        <v>47</v>
      </c>
      <c r="F83" s="453"/>
      <c r="G83" s="454">
        <f t="shared" si="0"/>
        <v>0</v>
      </c>
      <c r="H83" s="575">
        <v>0</v>
      </c>
      <c r="I83" s="575">
        <v>0</v>
      </c>
      <c r="J83" s="575">
        <v>0</v>
      </c>
      <c r="K83" s="575">
        <v>0</v>
      </c>
      <c r="L83" s="575">
        <v>0</v>
      </c>
      <c r="M83" s="575">
        <v>0</v>
      </c>
      <c r="N83" s="575">
        <v>0</v>
      </c>
      <c r="O83" s="575">
        <v>0</v>
      </c>
      <c r="P83" s="575">
        <v>0</v>
      </c>
      <c r="Q83" s="575">
        <v>0</v>
      </c>
      <c r="R83" s="575">
        <v>0</v>
      </c>
      <c r="S83" s="575">
        <v>0</v>
      </c>
      <c r="T83" s="575">
        <v>0</v>
      </c>
      <c r="U83" s="575">
        <v>0</v>
      </c>
      <c r="V83" s="575">
        <v>0</v>
      </c>
      <c r="W83" s="575">
        <v>0</v>
      </c>
      <c r="X83" s="575">
        <v>0</v>
      </c>
      <c r="Y83" s="575">
        <v>0</v>
      </c>
      <c r="Z83" s="575">
        <v>0</v>
      </c>
      <c r="AA83" s="575">
        <v>0</v>
      </c>
      <c r="AB83" s="575">
        <v>0</v>
      </c>
      <c r="AC83" s="575">
        <v>0</v>
      </c>
      <c r="AD83" s="575">
        <v>0</v>
      </c>
      <c r="AE83" s="575">
        <v>0</v>
      </c>
      <c r="AF83" s="575">
        <v>0</v>
      </c>
    </row>
    <row r="84" spans="1:32" ht="15" x14ac:dyDescent="0.3">
      <c r="A84" s="685"/>
      <c r="B84" s="449">
        <v>80</v>
      </c>
      <c r="C84" s="448" t="s">
        <v>419</v>
      </c>
      <c r="D84" s="453">
        <f>D83</f>
        <v>46081</v>
      </c>
      <c r="E84" s="451" t="s">
        <v>47</v>
      </c>
      <c r="F84" s="453"/>
      <c r="G84" s="454">
        <f t="shared" si="0"/>
        <v>0</v>
      </c>
      <c r="H84" s="575">
        <v>0</v>
      </c>
      <c r="I84" s="575">
        <v>0</v>
      </c>
      <c r="J84" s="575">
        <v>0</v>
      </c>
      <c r="K84" s="575">
        <v>0</v>
      </c>
      <c r="L84" s="575">
        <v>0</v>
      </c>
      <c r="M84" s="575">
        <v>0</v>
      </c>
      <c r="N84" s="575">
        <v>0</v>
      </c>
      <c r="O84" s="575">
        <v>0</v>
      </c>
      <c r="P84" s="575">
        <v>0</v>
      </c>
      <c r="Q84" s="575">
        <v>0</v>
      </c>
      <c r="R84" s="575">
        <v>0</v>
      </c>
      <c r="S84" s="575">
        <v>0</v>
      </c>
      <c r="T84" s="575">
        <v>0</v>
      </c>
      <c r="U84" s="575">
        <v>0</v>
      </c>
      <c r="V84" s="575">
        <v>0</v>
      </c>
      <c r="W84" s="575">
        <v>0</v>
      </c>
      <c r="X84" s="575">
        <v>0</v>
      </c>
      <c r="Y84" s="575">
        <v>0</v>
      </c>
      <c r="Z84" s="575">
        <v>0</v>
      </c>
      <c r="AA84" s="575">
        <v>0</v>
      </c>
      <c r="AB84" s="575">
        <v>0</v>
      </c>
      <c r="AC84" s="575">
        <v>0</v>
      </c>
      <c r="AD84" s="575">
        <v>0</v>
      </c>
      <c r="AE84" s="575">
        <v>0</v>
      </c>
      <c r="AF84" s="575">
        <v>0</v>
      </c>
    </row>
    <row r="85" spans="1:32" ht="15.6" thickBot="1" x14ac:dyDescent="0.35">
      <c r="A85" s="686"/>
      <c r="B85" s="450">
        <v>81</v>
      </c>
      <c r="C85" s="610" t="s">
        <v>420</v>
      </c>
      <c r="D85" s="574">
        <f>D84</f>
        <v>46081</v>
      </c>
      <c r="E85" s="611" t="s">
        <v>47</v>
      </c>
      <c r="F85" s="574"/>
      <c r="G85" s="454">
        <f t="shared" si="0"/>
        <v>0</v>
      </c>
      <c r="H85" s="575">
        <v>0</v>
      </c>
      <c r="I85" s="575">
        <v>0</v>
      </c>
      <c r="J85" s="575">
        <v>0</v>
      </c>
      <c r="K85" s="575">
        <v>0</v>
      </c>
      <c r="L85" s="575">
        <v>0</v>
      </c>
      <c r="M85" s="575">
        <v>0</v>
      </c>
      <c r="N85" s="575">
        <v>0</v>
      </c>
      <c r="O85" s="575">
        <v>0</v>
      </c>
      <c r="P85" s="575">
        <v>0</v>
      </c>
      <c r="Q85" s="575">
        <v>0</v>
      </c>
      <c r="R85" s="575">
        <v>0</v>
      </c>
      <c r="S85" s="575">
        <v>0</v>
      </c>
      <c r="T85" s="575">
        <v>0</v>
      </c>
      <c r="U85" s="575">
        <v>0</v>
      </c>
      <c r="V85" s="575">
        <v>0</v>
      </c>
      <c r="W85" s="575">
        <v>0</v>
      </c>
      <c r="X85" s="575">
        <v>0</v>
      </c>
      <c r="Y85" s="575">
        <v>0</v>
      </c>
      <c r="Z85" s="575">
        <v>0</v>
      </c>
      <c r="AA85" s="575">
        <v>0</v>
      </c>
      <c r="AB85" s="575">
        <v>0</v>
      </c>
      <c r="AC85" s="575">
        <v>0</v>
      </c>
      <c r="AD85" s="575">
        <v>0</v>
      </c>
      <c r="AE85" s="575">
        <v>0</v>
      </c>
      <c r="AF85" s="575">
        <v>0</v>
      </c>
    </row>
    <row r="86" spans="1:32" ht="18.600000000000001" thickBot="1" x14ac:dyDescent="0.35">
      <c r="C86" s="692" t="s">
        <v>305</v>
      </c>
      <c r="D86" s="693"/>
      <c r="E86" s="693"/>
      <c r="F86" s="694"/>
      <c r="G86" s="467">
        <f>AVERAGE(G3:G85)</f>
        <v>0.96296296296296291</v>
      </c>
      <c r="H86" s="467">
        <f>AVERAGE(H3:H85)</f>
        <v>4.9382716049382713E-2</v>
      </c>
      <c r="I86" s="467">
        <f>AVERAGE(I3:I85)</f>
        <v>0.14814814814814814</v>
      </c>
      <c r="J86" s="467">
        <f t="shared" ref="J86:AF86" si="1">AVERAGE(J3:J85)</f>
        <v>0.22222222222222221</v>
      </c>
      <c r="K86" s="467">
        <f t="shared" si="1"/>
        <v>0.29629629629629628</v>
      </c>
      <c r="L86" s="467">
        <f t="shared" si="1"/>
        <v>0.37037037037037035</v>
      </c>
      <c r="M86" s="467">
        <f t="shared" si="1"/>
        <v>0.40740740740740738</v>
      </c>
      <c r="N86" s="467">
        <f t="shared" si="1"/>
        <v>0.48148148148148145</v>
      </c>
      <c r="O86" s="467">
        <f t="shared" si="1"/>
        <v>0.59259259259259256</v>
      </c>
      <c r="P86" s="467">
        <f t="shared" si="1"/>
        <v>0.59259259259259256</v>
      </c>
      <c r="Q86" s="467">
        <f t="shared" si="1"/>
        <v>0.70370370370370372</v>
      </c>
      <c r="R86" s="467">
        <f t="shared" si="1"/>
        <v>0.81481481481481477</v>
      </c>
      <c r="S86" s="467">
        <f t="shared" si="1"/>
        <v>0.88888888888888884</v>
      </c>
      <c r="T86" s="467">
        <f t="shared" si="1"/>
        <v>0.92592592592592593</v>
      </c>
      <c r="U86" s="467">
        <f t="shared" si="1"/>
        <v>0.92592592592592593</v>
      </c>
      <c r="V86" s="467">
        <f t="shared" si="1"/>
        <v>0.92592592592592593</v>
      </c>
      <c r="W86" s="467">
        <f t="shared" si="1"/>
        <v>0.92592592592592593</v>
      </c>
      <c r="X86" s="467">
        <f t="shared" si="1"/>
        <v>0.92592592592592593</v>
      </c>
      <c r="Y86" s="467">
        <f t="shared" si="1"/>
        <v>0.92592592592592593</v>
      </c>
      <c r="Z86" s="467">
        <f t="shared" si="1"/>
        <v>0.96296296296296291</v>
      </c>
      <c r="AA86" s="467">
        <f t="shared" si="1"/>
        <v>0.96296296296296291</v>
      </c>
      <c r="AB86" s="467">
        <f t="shared" si="1"/>
        <v>0.96296296296296291</v>
      </c>
      <c r="AC86" s="467">
        <f t="shared" si="1"/>
        <v>0.96296296296296291</v>
      </c>
      <c r="AD86" s="467">
        <f t="shared" si="1"/>
        <v>0.96296296296296291</v>
      </c>
      <c r="AE86" s="467">
        <f t="shared" si="1"/>
        <v>0.96296296296296291</v>
      </c>
      <c r="AF86" s="467">
        <f t="shared" si="1"/>
        <v>0.96296296296296291</v>
      </c>
    </row>
  </sheetData>
  <mergeCells count="16">
    <mergeCell ref="A66:A71"/>
    <mergeCell ref="A3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72:A77"/>
    <mergeCell ref="A78:A85"/>
    <mergeCell ref="B78:C78"/>
    <mergeCell ref="B82:C82"/>
    <mergeCell ref="C86:F86"/>
  </mergeCells>
  <dataValidations count="1">
    <dataValidation type="list" allowBlank="1" showInputMessage="1" showErrorMessage="1" sqref="E3:E77 E79:E81 E83:E85" xr:uid="{DB463A7E-AEBC-4D7E-B7B3-F8A1E3570958}">
      <formula1>"Oui, Non"</formula1>
    </dataValidation>
  </dataValidations>
  <hyperlinks>
    <hyperlink ref="C1" location="Dashboard!A1" display="Tableau de bord" xr:uid="{0D671540-9150-4D0D-BCB1-B5C86B5E10D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B28F-F1E0-494A-B7F1-32A16855C85A}">
  <dimension ref="A1:S15"/>
  <sheetViews>
    <sheetView showGridLines="0" workbookViewId="0">
      <pane xSplit="3" ySplit="3" topLeftCell="D4" activePane="bottomRight" state="frozen"/>
      <selection pane="topRight" activeCell="D11" sqref="D11"/>
      <selection pane="bottomLeft" activeCell="D11" sqref="D11"/>
      <selection pane="bottomRight" activeCell="B7" sqref="B7"/>
    </sheetView>
  </sheetViews>
  <sheetFormatPr defaultColWidth="11.44140625" defaultRowHeight="14.4" x14ac:dyDescent="0.3"/>
  <cols>
    <col min="2" max="2" width="23.109375" style="3" customWidth="1"/>
    <col min="3" max="3" width="30.44140625" style="3" customWidth="1"/>
    <col min="4" max="4" width="28.6640625" customWidth="1"/>
    <col min="8" max="11" width="11.44140625" customWidth="1"/>
    <col min="13" max="13" width="48.6640625" customWidth="1"/>
    <col min="19" max="19" width="29" customWidth="1"/>
    <col min="20" max="20" width="17" customWidth="1"/>
  </cols>
  <sheetData>
    <row r="1" spans="1:19" ht="21" x14ac:dyDescent="0.3">
      <c r="A1" s="250" t="s">
        <v>422</v>
      </c>
      <c r="B1"/>
      <c r="C1"/>
    </row>
    <row r="2" spans="1:19" ht="21" x14ac:dyDescent="0.3">
      <c r="A2" s="250"/>
      <c r="B2"/>
      <c r="C2"/>
    </row>
    <row r="3" spans="1:19" s="255" customFormat="1" ht="41.4" x14ac:dyDescent="0.3">
      <c r="A3" s="251" t="s">
        <v>423</v>
      </c>
      <c r="B3" s="252" t="s">
        <v>424</v>
      </c>
      <c r="C3" s="252" t="s">
        <v>425</v>
      </c>
      <c r="D3" s="252" t="s">
        <v>426</v>
      </c>
      <c r="E3" s="252" t="s">
        <v>427</v>
      </c>
      <c r="F3" s="253" t="s">
        <v>428</v>
      </c>
      <c r="G3" s="252" t="s">
        <v>429</v>
      </c>
      <c r="H3" s="252" t="s">
        <v>430</v>
      </c>
      <c r="I3" s="252" t="s">
        <v>431</v>
      </c>
      <c r="J3" s="253" t="s">
        <v>432</v>
      </c>
      <c r="K3" s="252" t="s">
        <v>433</v>
      </c>
      <c r="L3" s="251" t="s">
        <v>434</v>
      </c>
      <c r="M3" s="254" t="s">
        <v>435</v>
      </c>
      <c r="N3" s="254" t="s">
        <v>436</v>
      </c>
      <c r="O3" s="254" t="s">
        <v>437</v>
      </c>
      <c r="P3" s="254" t="s">
        <v>438</v>
      </c>
      <c r="Q3" s="254" t="s">
        <v>439</v>
      </c>
      <c r="R3" s="251" t="s">
        <v>440</v>
      </c>
      <c r="S3" s="254" t="s">
        <v>154</v>
      </c>
    </row>
    <row r="4" spans="1:19" x14ac:dyDescent="0.3">
      <c r="A4" s="256">
        <v>1</v>
      </c>
      <c r="B4" s="257"/>
      <c r="C4" s="257"/>
      <c r="D4" s="257"/>
      <c r="E4" s="258"/>
      <c r="F4" s="258"/>
      <c r="G4" s="259"/>
      <c r="H4" s="259"/>
      <c r="I4" s="260"/>
      <c r="J4" s="261">
        <f>G4*I4</f>
        <v>0</v>
      </c>
      <c r="K4" s="258"/>
      <c r="L4" s="262"/>
      <c r="M4" s="258"/>
      <c r="N4" s="263"/>
      <c r="O4" s="263"/>
      <c r="P4" s="264"/>
      <c r="Q4" s="265"/>
      <c r="R4" s="263"/>
      <c r="S4" s="264"/>
    </row>
    <row r="5" spans="1:19" x14ac:dyDescent="0.3">
      <c r="A5" s="256">
        <v>2</v>
      </c>
      <c r="B5" s="257"/>
      <c r="C5" s="257"/>
      <c r="D5" s="257"/>
      <c r="E5" s="258"/>
      <c r="F5" s="258"/>
      <c r="G5" s="259"/>
      <c r="H5" s="259"/>
      <c r="I5" s="260"/>
      <c r="J5" s="261">
        <f t="shared" ref="J5:J12" si="0">G5*I5</f>
        <v>0</v>
      </c>
      <c r="K5" s="258"/>
      <c r="L5" s="262"/>
      <c r="M5" s="258"/>
      <c r="N5" s="263"/>
      <c r="O5" s="263"/>
      <c r="P5" s="264"/>
      <c r="Q5" s="265"/>
      <c r="R5" s="263"/>
      <c r="S5" s="264"/>
    </row>
    <row r="6" spans="1:19" x14ac:dyDescent="0.3">
      <c r="A6" s="256">
        <v>3</v>
      </c>
      <c r="B6" s="257"/>
      <c r="C6" s="257"/>
      <c r="D6" s="257"/>
      <c r="E6" s="258"/>
      <c r="F6" s="258"/>
      <c r="G6" s="259"/>
      <c r="H6" s="259"/>
      <c r="I6" s="260"/>
      <c r="J6" s="261">
        <f t="shared" si="0"/>
        <v>0</v>
      </c>
      <c r="K6" s="258"/>
      <c r="L6" s="262"/>
      <c r="M6" s="258"/>
      <c r="N6" s="263"/>
      <c r="O6" s="263"/>
      <c r="P6" s="264"/>
      <c r="Q6" s="265"/>
      <c r="R6" s="263"/>
      <c r="S6" s="264"/>
    </row>
    <row r="7" spans="1:19" x14ac:dyDescent="0.3">
      <c r="A7" s="256">
        <v>4</v>
      </c>
      <c r="B7" s="257"/>
      <c r="C7" s="257"/>
      <c r="D7" s="257"/>
      <c r="E7" s="258"/>
      <c r="F7" s="258"/>
      <c r="G7" s="259"/>
      <c r="H7" s="259"/>
      <c r="I7" s="260"/>
      <c r="J7" s="261">
        <f t="shared" si="0"/>
        <v>0</v>
      </c>
      <c r="K7" s="258"/>
      <c r="L7" s="262" t="s">
        <v>441</v>
      </c>
      <c r="M7" s="258"/>
      <c r="N7" s="263"/>
      <c r="O7" s="263"/>
      <c r="P7" s="264"/>
      <c r="Q7" s="265"/>
      <c r="R7" s="263"/>
      <c r="S7" s="264"/>
    </row>
    <row r="8" spans="1:19" x14ac:dyDescent="0.3">
      <c r="A8" s="256">
        <v>5</v>
      </c>
      <c r="B8" s="257"/>
      <c r="C8" s="257"/>
      <c r="D8" s="257"/>
      <c r="E8" s="258"/>
      <c r="F8" s="258"/>
      <c r="G8" s="259"/>
      <c r="H8" s="259"/>
      <c r="I8" s="260"/>
      <c r="J8" s="261">
        <f t="shared" si="0"/>
        <v>0</v>
      </c>
      <c r="K8" s="258"/>
      <c r="L8" s="262"/>
      <c r="M8" s="258"/>
      <c r="N8" s="263"/>
      <c r="O8" s="263"/>
      <c r="P8" s="264"/>
      <c r="Q8" s="265"/>
      <c r="R8" s="263"/>
      <c r="S8" s="264"/>
    </row>
    <row r="9" spans="1:19" x14ac:dyDescent="0.3">
      <c r="A9" s="256">
        <v>6</v>
      </c>
      <c r="B9" s="257"/>
      <c r="C9" s="257"/>
      <c r="D9" s="257"/>
      <c r="E9" s="258"/>
      <c r="F9" s="258"/>
      <c r="G9" s="259"/>
      <c r="H9" s="259"/>
      <c r="I9" s="260"/>
      <c r="J9" s="261">
        <f t="shared" si="0"/>
        <v>0</v>
      </c>
      <c r="K9" s="258"/>
      <c r="L9" s="262"/>
      <c r="M9" s="258"/>
      <c r="N9" s="263"/>
      <c r="O9" s="263"/>
      <c r="P9" s="264"/>
      <c r="Q9" s="265"/>
      <c r="R9" s="263"/>
      <c r="S9" s="264"/>
    </row>
    <row r="10" spans="1:19" x14ac:dyDescent="0.3">
      <c r="A10" s="256">
        <v>7</v>
      </c>
      <c r="B10" s="257"/>
      <c r="C10" s="257"/>
      <c r="D10" s="257"/>
      <c r="E10" s="258"/>
      <c r="F10" s="258"/>
      <c r="G10" s="259"/>
      <c r="H10" s="259"/>
      <c r="I10" s="260"/>
      <c r="J10" s="261">
        <f t="shared" si="0"/>
        <v>0</v>
      </c>
      <c r="K10" s="258"/>
      <c r="L10" s="262"/>
      <c r="M10" s="258"/>
      <c r="N10" s="263"/>
      <c r="O10" s="263"/>
      <c r="P10" s="264"/>
      <c r="Q10" s="265"/>
      <c r="R10" s="263"/>
      <c r="S10" s="264"/>
    </row>
    <row r="11" spans="1:19" x14ac:dyDescent="0.3">
      <c r="A11" s="256">
        <v>8</v>
      </c>
      <c r="B11" s="257"/>
      <c r="C11" s="257"/>
      <c r="D11" s="257"/>
      <c r="E11" s="258"/>
      <c r="F11" s="258"/>
      <c r="G11" s="259"/>
      <c r="H11" s="259"/>
      <c r="I11" s="260"/>
      <c r="J11" s="261">
        <f t="shared" si="0"/>
        <v>0</v>
      </c>
      <c r="K11" s="258"/>
      <c r="L11" s="262"/>
      <c r="M11" s="258"/>
      <c r="N11" s="263"/>
      <c r="O11" s="263"/>
      <c r="P11" s="264"/>
      <c r="Q11" s="265"/>
      <c r="R11" s="263"/>
      <c r="S11" s="264"/>
    </row>
    <row r="12" spans="1:19" x14ac:dyDescent="0.3">
      <c r="A12" s="256">
        <v>9</v>
      </c>
      <c r="B12" s="257"/>
      <c r="C12" s="257"/>
      <c r="D12" s="257"/>
      <c r="E12" s="258"/>
      <c r="F12" s="258"/>
      <c r="G12" s="259"/>
      <c r="H12" s="259"/>
      <c r="I12" s="260"/>
      <c r="J12" s="261">
        <f t="shared" si="0"/>
        <v>0</v>
      </c>
      <c r="K12" s="258"/>
      <c r="L12" s="262"/>
      <c r="M12" s="258"/>
      <c r="N12" s="263"/>
      <c r="O12" s="263"/>
      <c r="P12" s="264"/>
      <c r="Q12" s="265"/>
      <c r="R12" s="263"/>
      <c r="S12" s="264"/>
    </row>
    <row r="13" spans="1:19" x14ac:dyDescent="0.3">
      <c r="A13" s="256">
        <v>10</v>
      </c>
      <c r="B13" s="257"/>
      <c r="C13" s="257"/>
      <c r="D13" s="257"/>
      <c r="E13" s="258"/>
      <c r="F13" s="258"/>
      <c r="G13" s="259"/>
      <c r="H13" s="259"/>
      <c r="I13" s="260"/>
      <c r="J13" s="261">
        <f>G13*I13</f>
        <v>0</v>
      </c>
      <c r="K13" s="258"/>
      <c r="L13" s="262" t="s">
        <v>441</v>
      </c>
      <c r="M13" s="258"/>
      <c r="N13" s="263"/>
      <c r="O13" s="263"/>
      <c r="P13" s="264"/>
      <c r="Q13" s="265"/>
      <c r="R13" s="263"/>
      <c r="S13" s="264"/>
    </row>
    <row r="14" spans="1:19" ht="8.6999999999999993" customHeight="1" x14ac:dyDescent="0.3"/>
    <row r="15" spans="1:19" x14ac:dyDescent="0.3">
      <c r="J15" s="266">
        <f>SUM(J4:J13)</f>
        <v>0</v>
      </c>
      <c r="N15" s="266">
        <f>SUM(N4:N13)</f>
        <v>0</v>
      </c>
      <c r="O15" s="266"/>
    </row>
  </sheetData>
  <dataValidations count="1">
    <dataValidation type="list" allowBlank="1" showInputMessage="1" showErrorMessage="1" sqref="H4:H13" xr:uid="{1F002A23-2983-4072-9CA8-4374C775FB57}">
      <formula1>"Risques, Pénalités"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1F3B9-6680-4E01-B8C2-3EB4AB4AEDBD}">
  <sheetPr>
    <tabColor theme="0"/>
  </sheetPr>
  <dimension ref="A1:AI81"/>
  <sheetViews>
    <sheetView view="pageBreakPreview" zoomScaleNormal="50" zoomScaleSheetLayoutView="100" workbookViewId="0">
      <pane xSplit="3" ySplit="5" topLeftCell="D6" activePane="bottomRight" state="frozen"/>
      <selection pane="topRight" activeCell="D1" sqref="D1"/>
      <selection pane="bottomLeft" activeCell="A7" sqref="A7"/>
      <selection pane="bottomRight" activeCell="C17" sqref="C17"/>
    </sheetView>
  </sheetViews>
  <sheetFormatPr defaultColWidth="11.44140625" defaultRowHeight="13.2" x14ac:dyDescent="0.3"/>
  <cols>
    <col min="1" max="1" width="4.44140625" style="288" customWidth="1"/>
    <col min="2" max="2" width="7" style="288" bestFit="1" customWidth="1"/>
    <col min="3" max="3" width="53.44140625" style="331" bestFit="1" customWidth="1"/>
    <col min="4" max="4" width="11.33203125" style="288" customWidth="1"/>
    <col min="5" max="5" width="10.6640625" style="288" customWidth="1"/>
    <col min="6" max="6" width="41.6640625" style="288" customWidth="1"/>
    <col min="7" max="7" width="15.33203125" style="288" customWidth="1"/>
    <col min="8" max="8" width="54.44140625" style="288" customWidth="1"/>
    <col min="9" max="9" width="17.109375" style="289" customWidth="1"/>
    <col min="10" max="10" width="12.6640625" style="334" customWidth="1"/>
    <col min="11" max="11" width="10" style="333" customWidth="1"/>
    <col min="12" max="12" width="12.6640625" style="334" customWidth="1"/>
    <col min="13" max="13" width="9.6640625" style="334" customWidth="1"/>
    <col min="14" max="14" width="8.6640625" style="334" customWidth="1"/>
    <col min="15" max="15" width="34.33203125" style="334" customWidth="1"/>
    <col min="16" max="16" width="10.44140625" style="334" customWidth="1"/>
    <col min="17" max="17" width="9.44140625" style="334" customWidth="1"/>
    <col min="18" max="16384" width="11.44140625" style="288"/>
  </cols>
  <sheetData>
    <row r="1" spans="1:17" ht="24.75" customHeight="1" thickBot="1" x14ac:dyDescent="0.35">
      <c r="A1" s="250" t="s">
        <v>442</v>
      </c>
      <c r="B1" s="381"/>
      <c r="C1" s="381"/>
      <c r="D1" s="381"/>
      <c r="E1" s="381"/>
      <c r="F1" s="381"/>
      <c r="G1" s="30" t="s">
        <v>4</v>
      </c>
    </row>
    <row r="2" spans="1:17" x14ac:dyDescent="0.3">
      <c r="A2" s="382"/>
      <c r="B2" s="382"/>
      <c r="C2" s="382"/>
      <c r="D2" s="382"/>
      <c r="E2" s="382"/>
      <c r="F2" s="382"/>
    </row>
    <row r="3" spans="1:17" s="378" customFormat="1" ht="12" x14ac:dyDescent="0.3">
      <c r="A3" s="699" t="s">
        <v>100</v>
      </c>
      <c r="B3" s="699" t="s">
        <v>443</v>
      </c>
      <c r="C3" s="699" t="s">
        <v>444</v>
      </c>
      <c r="D3" s="699" t="s">
        <v>445</v>
      </c>
      <c r="E3" s="699" t="s">
        <v>446</v>
      </c>
      <c r="F3" s="699" t="s">
        <v>447</v>
      </c>
      <c r="G3" s="699"/>
      <c r="H3" s="699"/>
      <c r="I3" s="699" t="s">
        <v>448</v>
      </c>
      <c r="J3" s="699" t="s">
        <v>449</v>
      </c>
      <c r="K3" s="699" t="s">
        <v>450</v>
      </c>
      <c r="L3" s="699" t="s">
        <v>451</v>
      </c>
      <c r="M3" s="699" t="s">
        <v>452</v>
      </c>
      <c r="N3" s="699"/>
      <c r="O3" s="699" t="s">
        <v>154</v>
      </c>
      <c r="P3" s="699" t="s">
        <v>453</v>
      </c>
      <c r="Q3" s="699"/>
    </row>
    <row r="4" spans="1:17" s="379" customFormat="1" ht="11.4" x14ac:dyDescent="0.3">
      <c r="A4" s="699"/>
      <c r="B4" s="699"/>
      <c r="C4" s="699"/>
      <c r="D4" s="699"/>
      <c r="E4" s="699"/>
      <c r="F4" s="699"/>
      <c r="G4" s="699"/>
      <c r="H4" s="699"/>
      <c r="I4" s="699"/>
      <c r="J4" s="699"/>
      <c r="K4" s="699"/>
      <c r="L4" s="699"/>
      <c r="M4" s="699" t="s">
        <v>454</v>
      </c>
      <c r="N4" s="699" t="s">
        <v>455</v>
      </c>
      <c r="O4" s="699"/>
      <c r="P4" s="699"/>
      <c r="Q4" s="699"/>
    </row>
    <row r="5" spans="1:17" s="379" customFormat="1" ht="12" x14ac:dyDescent="0.3">
      <c r="A5" s="699"/>
      <c r="B5" s="699"/>
      <c r="C5" s="699"/>
      <c r="D5" s="699"/>
      <c r="E5" s="699"/>
      <c r="F5" s="377" t="s">
        <v>456</v>
      </c>
      <c r="G5" s="377" t="s">
        <v>457</v>
      </c>
      <c r="H5" s="377" t="s">
        <v>458</v>
      </c>
      <c r="I5" s="699"/>
      <c r="J5" s="699"/>
      <c r="K5" s="699"/>
      <c r="L5" s="699"/>
      <c r="M5" s="699"/>
      <c r="N5" s="699"/>
      <c r="O5" s="699"/>
      <c r="P5" s="377" t="s">
        <v>454</v>
      </c>
      <c r="Q5" s="380" t="s">
        <v>459</v>
      </c>
    </row>
    <row r="6" spans="1:17" s="301" customFormat="1" x14ac:dyDescent="0.3">
      <c r="A6" s="290">
        <v>1</v>
      </c>
      <c r="B6" s="291"/>
      <c r="C6" s="292"/>
      <c r="D6" s="302"/>
      <c r="E6" s="302"/>
      <c r="F6" s="293"/>
      <c r="G6" s="294"/>
      <c r="H6" s="295"/>
      <c r="I6" s="296"/>
      <c r="J6" s="297"/>
      <c r="K6" s="298"/>
      <c r="L6" s="297"/>
      <c r="M6" s="299"/>
      <c r="N6" s="300"/>
      <c r="O6" s="306"/>
      <c r="P6" s="305"/>
      <c r="Q6" s="368"/>
    </row>
    <row r="7" spans="1:17" s="301" customFormat="1" x14ac:dyDescent="0.3">
      <c r="A7" s="290">
        <v>2</v>
      </c>
      <c r="B7" s="291"/>
      <c r="C7" s="292"/>
      <c r="D7" s="302"/>
      <c r="E7" s="302"/>
      <c r="F7" s="293"/>
      <c r="G7" s="294"/>
      <c r="H7" s="295"/>
      <c r="I7" s="296"/>
      <c r="J7" s="297"/>
      <c r="K7" s="298"/>
      <c r="L7" s="297"/>
      <c r="M7" s="299"/>
      <c r="N7" s="300"/>
      <c r="O7" s="306"/>
      <c r="P7" s="305"/>
      <c r="Q7" s="368"/>
    </row>
    <row r="8" spans="1:17" s="301" customFormat="1" x14ac:dyDescent="0.3">
      <c r="A8" s="290">
        <v>3</v>
      </c>
      <c r="B8" s="291"/>
      <c r="C8" s="292"/>
      <c r="D8" s="302"/>
      <c r="E8" s="302"/>
      <c r="F8" s="293"/>
      <c r="G8" s="294"/>
      <c r="H8" s="295"/>
      <c r="I8" s="296"/>
      <c r="J8" s="297"/>
      <c r="K8" s="298"/>
      <c r="L8" s="297"/>
      <c r="M8" s="299"/>
      <c r="N8" s="300"/>
      <c r="O8" s="306"/>
      <c r="P8" s="305"/>
      <c r="Q8" s="368"/>
    </row>
    <row r="9" spans="1:17" s="301" customFormat="1" x14ac:dyDescent="0.3">
      <c r="A9" s="290">
        <v>4</v>
      </c>
      <c r="B9" s="291"/>
      <c r="C9" s="292"/>
      <c r="D9" s="302"/>
      <c r="E9" s="302"/>
      <c r="F9" s="293"/>
      <c r="G9" s="294"/>
      <c r="H9" s="295"/>
      <c r="I9" s="296"/>
      <c r="J9" s="297"/>
      <c r="K9" s="298"/>
      <c r="L9" s="297"/>
      <c r="M9" s="299"/>
      <c r="N9" s="300"/>
      <c r="O9" s="306"/>
      <c r="P9" s="305"/>
      <c r="Q9" s="368"/>
    </row>
    <row r="10" spans="1:17" s="301" customFormat="1" x14ac:dyDescent="0.3">
      <c r="A10" s="290">
        <v>5</v>
      </c>
      <c r="B10" s="291"/>
      <c r="C10" s="292"/>
      <c r="D10" s="302"/>
      <c r="E10" s="302"/>
      <c r="F10" s="293"/>
      <c r="G10" s="294"/>
      <c r="H10" s="295"/>
      <c r="I10" s="303"/>
      <c r="J10" s="304"/>
      <c r="K10" s="298"/>
      <c r="L10" s="304"/>
      <c r="M10" s="305"/>
      <c r="N10" s="306"/>
      <c r="O10" s="306"/>
      <c r="P10" s="336"/>
      <c r="Q10" s="369"/>
    </row>
    <row r="11" spans="1:17" s="301" customFormat="1" x14ac:dyDescent="0.3">
      <c r="A11" s="290">
        <v>6</v>
      </c>
      <c r="B11" s="291"/>
      <c r="C11" s="292"/>
      <c r="D11" s="302"/>
      <c r="E11" s="302"/>
      <c r="F11" s="293"/>
      <c r="G11" s="294"/>
      <c r="H11" s="295"/>
      <c r="I11" s="303"/>
      <c r="J11" s="304"/>
      <c r="K11" s="298"/>
      <c r="L11" s="304"/>
      <c r="M11" s="305"/>
      <c r="N11" s="306"/>
      <c r="O11" s="306"/>
      <c r="P11" s="336"/>
      <c r="Q11" s="369"/>
    </row>
    <row r="12" spans="1:17" s="343" customFormat="1" ht="11.4" x14ac:dyDescent="0.3">
      <c r="A12" s="290">
        <v>7</v>
      </c>
      <c r="B12" s="307"/>
      <c r="C12" s="307"/>
      <c r="D12" s="307"/>
      <c r="E12" s="302"/>
      <c r="F12" s="308"/>
      <c r="G12" s="308"/>
      <c r="H12" s="307"/>
      <c r="I12" s="307"/>
      <c r="J12" s="304"/>
      <c r="K12" s="298"/>
      <c r="L12" s="304"/>
      <c r="M12" s="307"/>
      <c r="N12" s="307"/>
      <c r="O12" s="307"/>
      <c r="P12" s="307"/>
      <c r="Q12" s="370"/>
    </row>
    <row r="13" spans="1:17" s="343" customFormat="1" ht="11.4" x14ac:dyDescent="0.3">
      <c r="A13" s="290">
        <v>12</v>
      </c>
      <c r="B13" s="307"/>
      <c r="C13" s="307"/>
      <c r="D13" s="307"/>
      <c r="E13" s="302"/>
      <c r="F13" s="308"/>
      <c r="G13" s="307"/>
      <c r="H13" s="307"/>
      <c r="I13" s="307"/>
      <c r="J13" s="304"/>
      <c r="K13" s="298"/>
      <c r="L13" s="304"/>
      <c r="M13" s="307"/>
      <c r="N13" s="307"/>
      <c r="O13" s="307"/>
      <c r="P13" s="307"/>
      <c r="Q13" s="370"/>
    </row>
    <row r="14" spans="1:17" s="301" customFormat="1" ht="12" x14ac:dyDescent="0.3">
      <c r="A14" s="290">
        <v>13</v>
      </c>
      <c r="B14" s="291"/>
      <c r="C14" s="302"/>
      <c r="D14" s="302"/>
      <c r="E14" s="302"/>
      <c r="F14" s="293"/>
      <c r="G14" s="294"/>
      <c r="H14" s="294"/>
      <c r="I14" s="309"/>
      <c r="J14" s="304"/>
      <c r="K14" s="295"/>
      <c r="L14" s="304"/>
      <c r="M14" s="299"/>
      <c r="N14" s="299"/>
      <c r="O14" s="337"/>
      <c r="P14" s="299"/>
      <c r="Q14" s="368"/>
    </row>
    <row r="15" spans="1:17" s="344" customFormat="1" x14ac:dyDescent="0.25">
      <c r="A15" s="290">
        <v>14</v>
      </c>
      <c r="B15" s="310"/>
      <c r="C15" s="292"/>
      <c r="D15" s="302"/>
      <c r="E15" s="302"/>
      <c r="F15" s="293"/>
      <c r="G15" s="294"/>
      <c r="H15" s="294"/>
      <c r="I15" s="309"/>
      <c r="J15" s="304"/>
      <c r="K15" s="298"/>
      <c r="L15" s="304"/>
      <c r="M15" s="304"/>
      <c r="N15" s="335"/>
      <c r="O15" s="335"/>
      <c r="P15" s="305"/>
      <c r="Q15" s="368"/>
    </row>
    <row r="16" spans="1:17" s="344" customFormat="1" x14ac:dyDescent="0.25">
      <c r="A16" s="290">
        <v>15</v>
      </c>
      <c r="B16" s="310"/>
      <c r="C16" s="292"/>
      <c r="D16" s="302"/>
      <c r="E16" s="302"/>
      <c r="F16" s="293"/>
      <c r="G16" s="294"/>
      <c r="H16" s="294"/>
      <c r="I16" s="309"/>
      <c r="J16" s="304"/>
      <c r="K16" s="298"/>
      <c r="L16" s="304"/>
      <c r="M16" s="305"/>
      <c r="N16" s="335"/>
      <c r="O16" s="335"/>
      <c r="P16" s="305"/>
      <c r="Q16" s="368"/>
    </row>
    <row r="17" spans="1:35" s="344" customFormat="1" x14ac:dyDescent="0.25">
      <c r="A17" s="290">
        <v>16</v>
      </c>
      <c r="B17" s="310"/>
      <c r="C17" s="292"/>
      <c r="D17" s="302"/>
      <c r="E17" s="302"/>
      <c r="F17" s="293"/>
      <c r="G17" s="294"/>
      <c r="H17" s="295"/>
      <c r="I17" s="309"/>
      <c r="J17" s="304"/>
      <c r="K17" s="298"/>
      <c r="L17" s="304"/>
      <c r="M17" s="305"/>
      <c r="N17" s="335"/>
      <c r="O17" s="335"/>
      <c r="P17" s="305"/>
      <c r="Q17" s="368"/>
    </row>
    <row r="18" spans="1:35" s="345" customFormat="1" x14ac:dyDescent="0.25">
      <c r="A18" s="290">
        <v>17</v>
      </c>
      <c r="B18" s="311"/>
      <c r="C18" s="292"/>
      <c r="D18" s="302"/>
      <c r="E18" s="302"/>
      <c r="F18" s="293"/>
      <c r="G18" s="294"/>
      <c r="H18" s="295"/>
      <c r="I18" s="312"/>
      <c r="J18" s="304"/>
      <c r="K18" s="313"/>
      <c r="L18" s="304"/>
      <c r="M18" s="323"/>
      <c r="N18" s="323"/>
      <c r="O18" s="320"/>
      <c r="P18" s="323"/>
      <c r="Q18" s="371"/>
      <c r="R18" s="34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</row>
    <row r="19" spans="1:35" s="345" customFormat="1" x14ac:dyDescent="0.25">
      <c r="A19" s="290">
        <v>18</v>
      </c>
      <c r="B19" s="311"/>
      <c r="C19" s="292"/>
      <c r="D19" s="302"/>
      <c r="E19" s="302"/>
      <c r="F19" s="293"/>
      <c r="G19" s="314"/>
      <c r="H19" s="295"/>
      <c r="I19" s="312"/>
      <c r="J19" s="304"/>
      <c r="K19" s="313"/>
      <c r="L19" s="304"/>
      <c r="M19" s="323"/>
      <c r="N19" s="323"/>
      <c r="O19" s="320"/>
      <c r="P19" s="323"/>
      <c r="Q19" s="371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</row>
    <row r="20" spans="1:35" s="345" customFormat="1" x14ac:dyDescent="0.25">
      <c r="A20" s="290">
        <v>19</v>
      </c>
      <c r="B20" s="311"/>
      <c r="C20" s="292"/>
      <c r="D20" s="302"/>
      <c r="E20" s="302"/>
      <c r="F20" s="308"/>
      <c r="G20" s="299"/>
      <c r="H20" s="295"/>
      <c r="I20" s="312"/>
      <c r="J20" s="304"/>
      <c r="K20" s="313"/>
      <c r="L20" s="304"/>
      <c r="M20" s="323"/>
      <c r="N20" s="323"/>
      <c r="O20" s="320"/>
      <c r="P20" s="323"/>
      <c r="Q20" s="371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</row>
    <row r="21" spans="1:35" s="345" customFormat="1" x14ac:dyDescent="0.25">
      <c r="A21" s="290">
        <v>20</v>
      </c>
      <c r="B21" s="311"/>
      <c r="C21" s="292"/>
      <c r="D21" s="302"/>
      <c r="E21" s="302"/>
      <c r="F21" s="293"/>
      <c r="G21" s="314"/>
      <c r="H21" s="295"/>
      <c r="I21" s="312"/>
      <c r="J21" s="304"/>
      <c r="K21" s="298"/>
      <c r="L21" s="304"/>
      <c r="M21" s="323"/>
      <c r="N21" s="323"/>
      <c r="O21" s="320"/>
      <c r="P21" s="323"/>
      <c r="Q21" s="371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</row>
    <row r="22" spans="1:35" s="345" customFormat="1" x14ac:dyDescent="0.25">
      <c r="A22" s="290">
        <v>21</v>
      </c>
      <c r="B22" s="311"/>
      <c r="C22" s="292"/>
      <c r="D22" s="302"/>
      <c r="E22" s="302"/>
      <c r="F22" s="293"/>
      <c r="G22" s="314"/>
      <c r="H22" s="295"/>
      <c r="I22" s="312"/>
      <c r="J22" s="304"/>
      <c r="K22" s="298"/>
      <c r="L22" s="304"/>
      <c r="M22" s="313"/>
      <c r="N22" s="313"/>
      <c r="O22" s="312"/>
      <c r="P22" s="313"/>
      <c r="Q22" s="372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</row>
    <row r="23" spans="1:35" s="345" customFormat="1" x14ac:dyDescent="0.25">
      <c r="A23" s="290">
        <v>22</v>
      </c>
      <c r="B23" s="311"/>
      <c r="C23" s="292"/>
      <c r="D23" s="302"/>
      <c r="E23" s="302"/>
      <c r="F23" s="293"/>
      <c r="G23" s="314"/>
      <c r="H23" s="315"/>
      <c r="I23" s="312"/>
      <c r="J23" s="304"/>
      <c r="K23" s="298"/>
      <c r="L23" s="313"/>
      <c r="M23" s="313"/>
      <c r="N23" s="313"/>
      <c r="O23" s="312"/>
      <c r="P23" s="313"/>
      <c r="Q23" s="372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</row>
    <row r="24" spans="1:35" s="345" customFormat="1" x14ac:dyDescent="0.25">
      <c r="A24" s="290">
        <v>23</v>
      </c>
      <c r="B24" s="311"/>
      <c r="C24" s="292"/>
      <c r="D24" s="302"/>
      <c r="E24" s="302"/>
      <c r="F24" s="293"/>
      <c r="G24" s="314"/>
      <c r="H24" s="315"/>
      <c r="I24" s="312"/>
      <c r="J24" s="304"/>
      <c r="K24" s="298"/>
      <c r="L24" s="304"/>
      <c r="M24" s="313"/>
      <c r="N24" s="313"/>
      <c r="O24" s="312"/>
      <c r="P24" s="313"/>
      <c r="Q24" s="372"/>
      <c r="R24" s="344"/>
      <c r="S24" s="344"/>
      <c r="T24" s="344"/>
      <c r="U24" s="344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</row>
    <row r="25" spans="1:35" s="345" customFormat="1" x14ac:dyDescent="0.25">
      <c r="A25" s="290">
        <v>24</v>
      </c>
      <c r="B25" s="311"/>
      <c r="C25" s="292"/>
      <c r="D25" s="302"/>
      <c r="E25" s="302"/>
      <c r="F25" s="293"/>
      <c r="G25" s="314"/>
      <c r="H25" s="295"/>
      <c r="I25" s="312"/>
      <c r="J25" s="304"/>
      <c r="K25" s="298"/>
      <c r="L25" s="304"/>
      <c r="M25" s="313"/>
      <c r="N25" s="312"/>
      <c r="O25" s="330"/>
      <c r="P25" s="313"/>
      <c r="Q25" s="372"/>
      <c r="R25" s="344"/>
      <c r="S25" s="344"/>
      <c r="T25" s="344"/>
      <c r="U25" s="344"/>
      <c r="V25" s="344"/>
      <c r="W25" s="344"/>
      <c r="X25" s="344"/>
      <c r="Y25" s="344"/>
      <c r="Z25" s="344"/>
      <c r="AA25" s="344"/>
      <c r="AB25" s="344"/>
      <c r="AC25" s="344"/>
      <c r="AD25" s="344"/>
      <c r="AE25" s="344"/>
      <c r="AF25" s="344"/>
      <c r="AG25" s="344"/>
      <c r="AH25" s="344"/>
      <c r="AI25" s="344"/>
    </row>
    <row r="26" spans="1:35" s="345" customFormat="1" x14ac:dyDescent="0.25">
      <c r="A26" s="290">
        <v>25</v>
      </c>
      <c r="B26" s="311"/>
      <c r="C26" s="292"/>
      <c r="D26" s="302"/>
      <c r="E26" s="302"/>
      <c r="F26" s="293"/>
      <c r="G26" s="314"/>
      <c r="H26" s="295"/>
      <c r="I26" s="312"/>
      <c r="J26" s="304"/>
      <c r="K26" s="298"/>
      <c r="L26" s="304"/>
      <c r="M26" s="313"/>
      <c r="N26" s="312"/>
      <c r="O26" s="330"/>
      <c r="P26" s="313"/>
      <c r="Q26" s="372"/>
      <c r="R26" s="344"/>
      <c r="S26" s="344"/>
      <c r="T26" s="344"/>
      <c r="U26" s="344"/>
      <c r="V26" s="344"/>
      <c r="W26" s="344"/>
      <c r="X26" s="344"/>
      <c r="Y26" s="344"/>
      <c r="Z26" s="344"/>
      <c r="AA26" s="344"/>
      <c r="AB26" s="344"/>
      <c r="AC26" s="344"/>
      <c r="AD26" s="344"/>
      <c r="AE26" s="344"/>
      <c r="AF26" s="344"/>
      <c r="AG26" s="344"/>
      <c r="AH26" s="344"/>
      <c r="AI26" s="344"/>
    </row>
    <row r="27" spans="1:35" s="345" customFormat="1" x14ac:dyDescent="0.25">
      <c r="A27" s="290">
        <v>26</v>
      </c>
      <c r="B27" s="311"/>
      <c r="C27" s="316"/>
      <c r="D27" s="302"/>
      <c r="E27" s="302"/>
      <c r="F27" s="293"/>
      <c r="G27" s="314"/>
      <c r="H27" s="295"/>
      <c r="I27" s="312"/>
      <c r="J27" s="304"/>
      <c r="K27" s="298"/>
      <c r="L27" s="313"/>
      <c r="M27" s="313"/>
      <c r="N27" s="313"/>
      <c r="O27" s="312"/>
      <c r="P27" s="313"/>
      <c r="Q27" s="372"/>
      <c r="R27" s="344"/>
      <c r="S27" s="344"/>
      <c r="T27" s="344"/>
      <c r="U27" s="344"/>
      <c r="V27" s="344"/>
      <c r="W27" s="344"/>
      <c r="X27" s="344"/>
      <c r="Y27" s="344"/>
      <c r="Z27" s="344"/>
      <c r="AA27" s="344"/>
      <c r="AB27" s="344"/>
      <c r="AC27" s="344"/>
      <c r="AD27" s="344"/>
      <c r="AE27" s="344"/>
      <c r="AF27" s="344"/>
      <c r="AG27" s="344"/>
      <c r="AH27" s="344"/>
      <c r="AI27" s="344"/>
    </row>
    <row r="28" spans="1:35" s="345" customFormat="1" x14ac:dyDescent="0.25">
      <c r="A28" s="290">
        <v>27</v>
      </c>
      <c r="B28" s="311"/>
      <c r="C28" s="292"/>
      <c r="D28" s="302"/>
      <c r="E28" s="302"/>
      <c r="F28" s="317"/>
      <c r="G28" s="314"/>
      <c r="H28" s="295"/>
      <c r="I28" s="312"/>
      <c r="J28" s="304"/>
      <c r="K28" s="298"/>
      <c r="L28" s="304"/>
      <c r="M28" s="313"/>
      <c r="N28" s="313"/>
      <c r="O28" s="312"/>
      <c r="P28" s="313"/>
      <c r="Q28" s="372"/>
      <c r="R28" s="344"/>
      <c r="S28" s="344"/>
      <c r="T28" s="344"/>
      <c r="U28" s="344"/>
      <c r="V28" s="344"/>
      <c r="W28" s="344"/>
      <c r="X28" s="344"/>
      <c r="Y28" s="344"/>
      <c r="Z28" s="344"/>
      <c r="AA28" s="344"/>
      <c r="AB28" s="344"/>
      <c r="AC28" s="344"/>
      <c r="AD28" s="344"/>
      <c r="AE28" s="344"/>
      <c r="AF28" s="344"/>
      <c r="AG28" s="344"/>
      <c r="AH28" s="344"/>
      <c r="AI28" s="344"/>
    </row>
    <row r="29" spans="1:35" s="344" customFormat="1" x14ac:dyDescent="0.25">
      <c r="A29" s="290">
        <v>28</v>
      </c>
      <c r="B29" s="318"/>
      <c r="C29" s="292"/>
      <c r="D29" s="319"/>
      <c r="E29" s="319"/>
      <c r="F29" s="293"/>
      <c r="G29" s="314"/>
      <c r="H29" s="314"/>
      <c r="I29" s="320"/>
      <c r="J29" s="304"/>
      <c r="K29" s="321"/>
      <c r="L29" s="304"/>
      <c r="M29" s="304"/>
      <c r="N29" s="322"/>
      <c r="O29" s="320"/>
      <c r="P29" s="323"/>
      <c r="Q29" s="371"/>
    </row>
    <row r="30" spans="1:35" s="345" customFormat="1" x14ac:dyDescent="0.25">
      <c r="A30" s="290">
        <v>29</v>
      </c>
      <c r="B30" s="311"/>
      <c r="C30" s="315"/>
      <c r="D30" s="302"/>
      <c r="E30" s="302"/>
      <c r="F30" s="317"/>
      <c r="G30" s="314"/>
      <c r="H30" s="295"/>
      <c r="I30" s="312"/>
      <c r="J30" s="304"/>
      <c r="K30" s="298"/>
      <c r="L30" s="304"/>
      <c r="M30" s="313"/>
      <c r="N30" s="313"/>
      <c r="O30" s="312"/>
      <c r="P30" s="313"/>
      <c r="Q30" s="372"/>
      <c r="R30" s="344"/>
      <c r="S30" s="344"/>
      <c r="T30" s="344"/>
      <c r="U30" s="344"/>
      <c r="V30" s="344"/>
      <c r="W30" s="344"/>
      <c r="X30" s="344"/>
      <c r="Y30" s="344"/>
      <c r="Z30" s="344"/>
      <c r="AA30" s="344"/>
      <c r="AB30" s="344"/>
      <c r="AC30" s="344"/>
      <c r="AD30" s="344"/>
      <c r="AE30" s="344"/>
      <c r="AF30" s="344"/>
      <c r="AG30" s="344"/>
      <c r="AH30" s="344"/>
      <c r="AI30" s="344"/>
    </row>
    <row r="31" spans="1:35" s="345" customFormat="1" x14ac:dyDescent="0.25">
      <c r="A31" s="290">
        <v>30</v>
      </c>
      <c r="B31" s="311"/>
      <c r="C31" s="315"/>
      <c r="D31" s="302"/>
      <c r="E31" s="302"/>
      <c r="F31" s="317"/>
      <c r="G31" s="314"/>
      <c r="H31" s="295"/>
      <c r="I31" s="312"/>
      <c r="J31" s="304"/>
      <c r="K31" s="298"/>
      <c r="L31" s="304"/>
      <c r="M31" s="313"/>
      <c r="N31" s="313"/>
      <c r="O31" s="312"/>
      <c r="P31" s="313"/>
      <c r="Q31" s="372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</row>
    <row r="32" spans="1:35" s="345" customFormat="1" x14ac:dyDescent="0.25">
      <c r="A32" s="290">
        <v>31</v>
      </c>
      <c r="B32" s="341"/>
      <c r="C32" s="315"/>
      <c r="D32" s="302"/>
      <c r="E32" s="302"/>
      <c r="F32" s="329"/>
      <c r="G32" s="314"/>
      <c r="H32" s="292"/>
      <c r="I32" s="312"/>
      <c r="J32" s="304"/>
      <c r="K32" s="298"/>
      <c r="L32" s="304"/>
      <c r="M32" s="313"/>
      <c r="N32" s="313"/>
      <c r="O32" s="312"/>
      <c r="P32" s="313"/>
      <c r="Q32" s="372"/>
      <c r="R32" s="344"/>
      <c r="S32" s="344"/>
      <c r="T32" s="344"/>
      <c r="U32" s="344"/>
      <c r="V32" s="344"/>
      <c r="W32" s="344"/>
      <c r="X32" s="344"/>
      <c r="Y32" s="344"/>
      <c r="Z32" s="344"/>
      <c r="AA32" s="344"/>
      <c r="AB32" s="344"/>
      <c r="AC32" s="344"/>
      <c r="AD32" s="344"/>
      <c r="AE32" s="344"/>
      <c r="AF32" s="344"/>
      <c r="AG32" s="344"/>
      <c r="AH32" s="344"/>
      <c r="AI32" s="344"/>
    </row>
    <row r="33" spans="1:35" s="345" customFormat="1" x14ac:dyDescent="0.25">
      <c r="A33" s="290">
        <v>32</v>
      </c>
      <c r="B33" s="341"/>
      <c r="C33" s="315"/>
      <c r="D33" s="302"/>
      <c r="E33" s="302"/>
      <c r="F33" s="329"/>
      <c r="G33" s="314"/>
      <c r="H33" s="292"/>
      <c r="I33" s="312"/>
      <c r="J33" s="304"/>
      <c r="K33" s="298"/>
      <c r="L33" s="304"/>
      <c r="M33" s="313"/>
      <c r="N33" s="313"/>
      <c r="O33" s="312"/>
      <c r="P33" s="313"/>
      <c r="Q33" s="372"/>
      <c r="R33" s="344"/>
      <c r="S33" s="344"/>
      <c r="T33" s="344"/>
      <c r="U33" s="344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344"/>
      <c r="AG33" s="344"/>
      <c r="AH33" s="344"/>
      <c r="AI33" s="344"/>
    </row>
    <row r="34" spans="1:35" s="345" customFormat="1" x14ac:dyDescent="0.25">
      <c r="A34" s="290">
        <v>33</v>
      </c>
      <c r="B34" s="311"/>
      <c r="C34" s="292"/>
      <c r="D34" s="302"/>
      <c r="E34" s="302"/>
      <c r="F34" s="293"/>
      <c r="G34" s="314"/>
      <c r="H34" s="292"/>
      <c r="I34" s="312"/>
      <c r="J34" s="304"/>
      <c r="K34" s="298"/>
      <c r="L34" s="304"/>
      <c r="M34" s="313"/>
      <c r="N34" s="313"/>
      <c r="O34" s="312"/>
      <c r="P34" s="313"/>
      <c r="Q34" s="372"/>
      <c r="R34" s="344"/>
      <c r="S34" s="344"/>
      <c r="T34" s="344"/>
      <c r="U34" s="344"/>
      <c r="V34" s="344"/>
      <c r="W34" s="344"/>
      <c r="X34" s="344"/>
      <c r="Y34" s="344"/>
      <c r="Z34" s="344"/>
      <c r="AA34" s="344"/>
      <c r="AB34" s="344"/>
      <c r="AC34" s="344"/>
      <c r="AD34" s="344"/>
      <c r="AE34" s="344"/>
      <c r="AF34" s="344"/>
      <c r="AG34" s="344"/>
      <c r="AH34" s="344"/>
      <c r="AI34" s="344"/>
    </row>
    <row r="35" spans="1:35" s="346" customFormat="1" x14ac:dyDescent="0.3">
      <c r="A35" s="290">
        <v>34</v>
      </c>
      <c r="B35" s="338"/>
      <c r="C35" s="292"/>
      <c r="D35" s="302"/>
      <c r="E35" s="302"/>
      <c r="F35" s="293"/>
      <c r="G35" s="324"/>
      <c r="H35" s="293"/>
      <c r="I35" s="312"/>
      <c r="J35" s="304"/>
      <c r="K35" s="298"/>
      <c r="L35" s="304"/>
      <c r="M35" s="325"/>
      <c r="N35" s="325"/>
      <c r="O35" s="325"/>
      <c r="P35" s="325"/>
      <c r="Q35" s="373"/>
    </row>
    <row r="36" spans="1:35" s="345" customFormat="1" x14ac:dyDescent="0.25">
      <c r="A36" s="290">
        <v>35</v>
      </c>
      <c r="B36" s="311"/>
      <c r="C36" s="292"/>
      <c r="D36" s="302"/>
      <c r="E36" s="302"/>
      <c r="F36" s="293"/>
      <c r="G36" s="324"/>
      <c r="H36" s="292"/>
      <c r="I36" s="312"/>
      <c r="J36" s="304"/>
      <c r="K36" s="298"/>
      <c r="L36" s="304"/>
      <c r="M36" s="313"/>
      <c r="N36" s="313"/>
      <c r="O36" s="312"/>
      <c r="P36" s="313"/>
      <c r="Q36" s="372"/>
      <c r="R36" s="344"/>
      <c r="S36" s="344"/>
      <c r="T36" s="344"/>
      <c r="U36" s="344"/>
      <c r="V36" s="344"/>
      <c r="W36" s="344"/>
      <c r="X36" s="344"/>
      <c r="Y36" s="344"/>
      <c r="Z36" s="344"/>
      <c r="AA36" s="344"/>
      <c r="AB36" s="344"/>
      <c r="AC36" s="344"/>
      <c r="AD36" s="344"/>
      <c r="AE36" s="344"/>
      <c r="AF36" s="344"/>
      <c r="AG36" s="344"/>
      <c r="AH36" s="344"/>
      <c r="AI36" s="344"/>
    </row>
    <row r="37" spans="1:35" s="345" customFormat="1" x14ac:dyDescent="0.25">
      <c r="A37" s="290">
        <v>36</v>
      </c>
      <c r="B37" s="311"/>
      <c r="C37" s="292"/>
      <c r="D37" s="302"/>
      <c r="E37" s="302"/>
      <c r="F37" s="293"/>
      <c r="G37" s="324"/>
      <c r="H37" s="293"/>
      <c r="I37" s="312"/>
      <c r="J37" s="304"/>
      <c r="K37" s="298"/>
      <c r="L37" s="304"/>
      <c r="M37" s="313"/>
      <c r="N37" s="313"/>
      <c r="O37" s="312"/>
      <c r="P37" s="313"/>
      <c r="Q37" s="372"/>
      <c r="R37" s="344"/>
      <c r="S37" s="344"/>
      <c r="T37" s="344"/>
      <c r="U37" s="344"/>
      <c r="V37" s="344"/>
      <c r="W37" s="344"/>
      <c r="X37" s="344"/>
      <c r="Y37" s="344"/>
      <c r="Z37" s="344"/>
      <c r="AA37" s="344"/>
      <c r="AB37" s="344"/>
      <c r="AC37" s="344"/>
      <c r="AD37" s="344"/>
      <c r="AE37" s="344"/>
      <c r="AF37" s="344"/>
      <c r="AG37" s="344"/>
      <c r="AH37" s="344"/>
      <c r="AI37" s="344"/>
    </row>
    <row r="38" spans="1:35" s="345" customFormat="1" x14ac:dyDescent="0.25">
      <c r="A38" s="290">
        <v>37</v>
      </c>
      <c r="B38" s="311"/>
      <c r="C38" s="292"/>
      <c r="D38" s="302"/>
      <c r="E38" s="302"/>
      <c r="F38" s="293"/>
      <c r="G38" s="314"/>
      <c r="H38" s="293"/>
      <c r="I38" s="312"/>
      <c r="J38" s="304"/>
      <c r="K38" s="298"/>
      <c r="L38" s="304"/>
      <c r="M38" s="313"/>
      <c r="N38" s="313"/>
      <c r="O38" s="312"/>
      <c r="P38" s="313"/>
      <c r="Q38" s="372"/>
      <c r="R38" s="344"/>
      <c r="S38" s="344"/>
      <c r="T38" s="344"/>
      <c r="U38" s="344"/>
      <c r="V38" s="344"/>
      <c r="W38" s="344"/>
      <c r="X38" s="344"/>
      <c r="Y38" s="344"/>
      <c r="Z38" s="344"/>
      <c r="AA38" s="344"/>
      <c r="AB38" s="344"/>
      <c r="AC38" s="344"/>
      <c r="AD38" s="344"/>
      <c r="AE38" s="344"/>
      <c r="AF38" s="344"/>
      <c r="AG38" s="344"/>
      <c r="AH38" s="344"/>
      <c r="AI38" s="344"/>
    </row>
    <row r="39" spans="1:35" s="346" customFormat="1" ht="14.25" customHeight="1" x14ac:dyDescent="0.3">
      <c r="A39" s="290">
        <v>38</v>
      </c>
      <c r="B39" s="338"/>
      <c r="C39" s="293"/>
      <c r="D39" s="302"/>
      <c r="E39" s="302"/>
      <c r="F39" s="326"/>
      <c r="G39" s="324"/>
      <c r="H39" s="293"/>
      <c r="I39" s="312"/>
      <c r="J39" s="327"/>
      <c r="K39" s="339"/>
      <c r="L39" s="292"/>
      <c r="M39" s="325"/>
      <c r="N39" s="325"/>
      <c r="O39" s="325"/>
      <c r="P39" s="325"/>
      <c r="Q39" s="373"/>
    </row>
    <row r="40" spans="1:35" s="345" customFormat="1" x14ac:dyDescent="0.25">
      <c r="A40" s="290">
        <v>39</v>
      </c>
      <c r="B40" s="311"/>
      <c r="C40" s="292"/>
      <c r="D40" s="302"/>
      <c r="E40" s="302"/>
      <c r="F40" s="293"/>
      <c r="G40" s="314"/>
      <c r="H40" s="293"/>
      <c r="I40" s="312"/>
      <c r="J40" s="304"/>
      <c r="K40" s="298"/>
      <c r="L40" s="304"/>
      <c r="M40" s="313"/>
      <c r="N40" s="313"/>
      <c r="O40" s="312"/>
      <c r="P40" s="313"/>
      <c r="Q40" s="372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</row>
    <row r="41" spans="1:35" s="345" customFormat="1" x14ac:dyDescent="0.25">
      <c r="A41" s="290">
        <v>40</v>
      </c>
      <c r="B41" s="311"/>
      <c r="C41" s="292"/>
      <c r="D41" s="302"/>
      <c r="E41" s="302"/>
      <c r="F41" s="293"/>
      <c r="G41" s="314"/>
      <c r="H41" s="293"/>
      <c r="I41" s="312"/>
      <c r="J41" s="304"/>
      <c r="K41" s="298"/>
      <c r="L41" s="304"/>
      <c r="M41" s="313"/>
      <c r="N41" s="313"/>
      <c r="O41" s="312"/>
      <c r="P41" s="313"/>
      <c r="Q41" s="372"/>
      <c r="R41" s="344"/>
      <c r="S41" s="344"/>
      <c r="T41" s="344"/>
      <c r="U41" s="344"/>
      <c r="V41" s="344"/>
      <c r="W41" s="344"/>
      <c r="X41" s="344"/>
      <c r="Y41" s="344"/>
      <c r="Z41" s="344"/>
      <c r="AA41" s="344"/>
      <c r="AB41" s="344"/>
      <c r="AC41" s="344"/>
      <c r="AD41" s="344"/>
      <c r="AE41" s="344"/>
      <c r="AF41" s="344"/>
      <c r="AG41" s="344"/>
      <c r="AH41" s="344"/>
      <c r="AI41" s="344"/>
    </row>
    <row r="42" spans="1:35" s="345" customFormat="1" x14ac:dyDescent="0.25">
      <c r="A42" s="290">
        <v>41</v>
      </c>
      <c r="B42" s="311"/>
      <c r="C42" s="292"/>
      <c r="D42" s="302"/>
      <c r="E42" s="302"/>
      <c r="F42" s="293"/>
      <c r="G42" s="314"/>
      <c r="H42" s="293"/>
      <c r="I42" s="312"/>
      <c r="J42" s="304"/>
      <c r="K42" s="298"/>
      <c r="L42" s="304"/>
      <c r="M42" s="313"/>
      <c r="N42" s="313"/>
      <c r="O42" s="312"/>
      <c r="P42" s="313"/>
      <c r="Q42" s="372"/>
      <c r="R42" s="344"/>
      <c r="S42" s="344"/>
      <c r="T42" s="344"/>
      <c r="U42" s="344"/>
      <c r="V42" s="344"/>
      <c r="W42" s="344"/>
      <c r="X42" s="344"/>
      <c r="Y42" s="344"/>
      <c r="Z42" s="344"/>
      <c r="AA42" s="344"/>
      <c r="AB42" s="344"/>
      <c r="AC42" s="344"/>
      <c r="AD42" s="344"/>
      <c r="AE42" s="344"/>
      <c r="AF42" s="344"/>
      <c r="AG42" s="344"/>
      <c r="AH42" s="344"/>
      <c r="AI42" s="344"/>
    </row>
    <row r="43" spans="1:35" s="345" customFormat="1" x14ac:dyDescent="0.25">
      <c r="A43" s="290">
        <v>42</v>
      </c>
      <c r="B43" s="311"/>
      <c r="C43" s="292"/>
      <c r="D43" s="302"/>
      <c r="E43" s="302"/>
      <c r="F43" s="293"/>
      <c r="G43" s="314"/>
      <c r="H43" s="293"/>
      <c r="I43" s="312"/>
      <c r="J43" s="304"/>
      <c r="K43" s="298"/>
      <c r="L43" s="304"/>
      <c r="M43" s="313"/>
      <c r="N43" s="313"/>
      <c r="O43" s="312"/>
      <c r="P43" s="313"/>
      <c r="Q43" s="372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</row>
    <row r="44" spans="1:35" s="345" customFormat="1" x14ac:dyDescent="0.25">
      <c r="A44" s="290">
        <v>43</v>
      </c>
      <c r="B44" s="311"/>
      <c r="C44" s="292"/>
      <c r="D44" s="302"/>
      <c r="E44" s="302"/>
      <c r="F44" s="328"/>
      <c r="G44" s="314"/>
      <c r="H44" s="293"/>
      <c r="I44" s="312"/>
      <c r="J44" s="304"/>
      <c r="K44" s="298"/>
      <c r="L44" s="304"/>
      <c r="M44" s="313"/>
      <c r="N44" s="313"/>
      <c r="O44" s="312"/>
      <c r="P44" s="313"/>
      <c r="Q44" s="372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  <c r="AG44" s="344"/>
      <c r="AH44" s="344"/>
      <c r="AI44" s="344"/>
    </row>
    <row r="45" spans="1:35" s="345" customFormat="1" x14ac:dyDescent="0.25">
      <c r="A45" s="290">
        <v>44</v>
      </c>
      <c r="B45" s="341"/>
      <c r="C45" s="292"/>
      <c r="D45" s="302"/>
      <c r="E45" s="302"/>
      <c r="F45" s="293"/>
      <c r="G45" s="314"/>
      <c r="H45" s="329"/>
      <c r="I45" s="312"/>
      <c r="J45" s="304"/>
      <c r="K45" s="298"/>
      <c r="L45" s="304"/>
      <c r="M45" s="313"/>
      <c r="N45" s="313"/>
      <c r="O45" s="330"/>
      <c r="P45" s="313"/>
      <c r="Q45" s="372"/>
      <c r="R45" s="344"/>
      <c r="S45" s="344"/>
      <c r="T45" s="344"/>
      <c r="U45" s="344"/>
      <c r="V45" s="344"/>
      <c r="W45" s="344"/>
      <c r="X45" s="344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</row>
    <row r="46" spans="1:35" s="345" customFormat="1" x14ac:dyDescent="0.25">
      <c r="A46" s="290">
        <v>45</v>
      </c>
      <c r="B46" s="341"/>
      <c r="C46" s="292"/>
      <c r="D46" s="302"/>
      <c r="E46" s="302"/>
      <c r="F46" s="293"/>
      <c r="G46" s="314"/>
      <c r="H46" s="329"/>
      <c r="I46" s="312"/>
      <c r="J46" s="304"/>
      <c r="K46" s="298"/>
      <c r="L46" s="304"/>
      <c r="M46" s="313"/>
      <c r="N46" s="313"/>
      <c r="O46" s="330"/>
      <c r="P46" s="313"/>
      <c r="Q46" s="372"/>
      <c r="R46" s="344"/>
      <c r="S46" s="344"/>
      <c r="T46" s="344"/>
      <c r="U46" s="344"/>
      <c r="V46" s="344"/>
      <c r="W46" s="344"/>
      <c r="X46" s="344"/>
      <c r="Y46" s="344"/>
      <c r="Z46" s="344"/>
      <c r="AA46" s="344"/>
      <c r="AB46" s="344"/>
      <c r="AC46" s="344"/>
      <c r="AD46" s="344"/>
      <c r="AE46" s="344"/>
      <c r="AF46" s="344"/>
      <c r="AG46" s="344"/>
      <c r="AH46" s="344"/>
      <c r="AI46" s="344"/>
    </row>
    <row r="47" spans="1:35" s="345" customFormat="1" x14ac:dyDescent="0.25">
      <c r="A47" s="290">
        <v>46</v>
      </c>
      <c r="B47" s="341"/>
      <c r="C47" s="292"/>
      <c r="D47" s="302"/>
      <c r="E47" s="302"/>
      <c r="F47" s="319"/>
      <c r="G47" s="314"/>
      <c r="H47" s="329"/>
      <c r="I47" s="312"/>
      <c r="J47" s="304"/>
      <c r="K47" s="298"/>
      <c r="L47" s="304"/>
      <c r="M47" s="313"/>
      <c r="N47" s="313"/>
      <c r="O47" s="312"/>
      <c r="P47" s="313"/>
      <c r="Q47" s="372"/>
      <c r="R47" s="344"/>
      <c r="S47" s="344"/>
      <c r="T47" s="344"/>
      <c r="U47" s="344"/>
      <c r="V47" s="344"/>
      <c r="W47" s="344"/>
      <c r="X47" s="344"/>
      <c r="Y47" s="344"/>
      <c r="Z47" s="344"/>
      <c r="AA47" s="344"/>
      <c r="AB47" s="344"/>
      <c r="AC47" s="344"/>
      <c r="AD47" s="344"/>
      <c r="AE47" s="344"/>
      <c r="AF47" s="344"/>
      <c r="AG47" s="344"/>
      <c r="AH47" s="344"/>
      <c r="AI47" s="344"/>
    </row>
    <row r="48" spans="1:35" s="345" customFormat="1" x14ac:dyDescent="0.25">
      <c r="A48" s="290">
        <v>47</v>
      </c>
      <c r="B48" s="341"/>
      <c r="C48" s="292"/>
      <c r="D48" s="302"/>
      <c r="E48" s="302"/>
      <c r="F48" s="319"/>
      <c r="G48" s="314"/>
      <c r="H48" s="329"/>
      <c r="I48" s="312"/>
      <c r="J48" s="304"/>
      <c r="K48" s="298"/>
      <c r="L48" s="304"/>
      <c r="M48" s="313"/>
      <c r="N48" s="313"/>
      <c r="O48" s="312"/>
      <c r="P48" s="313"/>
      <c r="Q48" s="372"/>
      <c r="R48" s="344"/>
      <c r="S48" s="344"/>
      <c r="T48" s="344"/>
      <c r="U48" s="344"/>
      <c r="V48" s="344"/>
      <c r="W48" s="344"/>
      <c r="X48" s="344"/>
      <c r="Y48" s="344"/>
      <c r="Z48" s="344"/>
      <c r="AA48" s="344"/>
      <c r="AB48" s="344"/>
      <c r="AC48" s="344"/>
      <c r="AD48" s="344"/>
      <c r="AE48" s="344"/>
      <c r="AF48" s="344"/>
      <c r="AG48" s="344"/>
      <c r="AH48" s="344"/>
      <c r="AI48" s="344"/>
    </row>
    <row r="49" spans="1:35" s="347" customFormat="1" x14ac:dyDescent="0.25">
      <c r="A49" s="290">
        <v>48</v>
      </c>
      <c r="B49" s="341"/>
      <c r="C49" s="292"/>
      <c r="D49" s="302"/>
      <c r="E49" s="302"/>
      <c r="F49" s="319"/>
      <c r="G49" s="314"/>
      <c r="H49" s="319"/>
      <c r="I49" s="320"/>
      <c r="J49" s="304"/>
      <c r="K49" s="321"/>
      <c r="L49" s="304"/>
      <c r="M49" s="323"/>
      <c r="N49" s="323"/>
      <c r="O49" s="320"/>
      <c r="P49" s="323"/>
      <c r="Q49" s="371"/>
      <c r="R49" s="344"/>
      <c r="S49" s="344"/>
      <c r="T49" s="344"/>
      <c r="U49" s="344"/>
      <c r="V49" s="344"/>
      <c r="W49" s="344"/>
      <c r="X49" s="344"/>
      <c r="Y49" s="344"/>
      <c r="Z49" s="344"/>
      <c r="AA49" s="344"/>
      <c r="AB49" s="344"/>
      <c r="AC49" s="344"/>
      <c r="AD49" s="344"/>
      <c r="AE49" s="344"/>
      <c r="AF49" s="344"/>
      <c r="AG49" s="344"/>
      <c r="AH49" s="344"/>
      <c r="AI49" s="344"/>
    </row>
    <row r="50" spans="1:35" s="345" customFormat="1" x14ac:dyDescent="0.25">
      <c r="A50" s="290">
        <v>49</v>
      </c>
      <c r="B50" s="341"/>
      <c r="C50" s="292"/>
      <c r="D50" s="302"/>
      <c r="E50" s="302"/>
      <c r="F50" s="319"/>
      <c r="G50" s="314"/>
      <c r="H50" s="329"/>
      <c r="I50" s="312"/>
      <c r="J50" s="304"/>
      <c r="K50" s="298"/>
      <c r="L50" s="304"/>
      <c r="M50" s="313"/>
      <c r="N50" s="313"/>
      <c r="O50" s="312"/>
      <c r="P50" s="313"/>
      <c r="Q50" s="372"/>
      <c r="R50" s="344"/>
      <c r="S50" s="344"/>
      <c r="T50" s="344"/>
      <c r="U50" s="344"/>
      <c r="V50" s="344"/>
      <c r="W50" s="344"/>
      <c r="X50" s="344"/>
      <c r="Y50" s="344"/>
      <c r="Z50" s="344"/>
      <c r="AA50" s="344"/>
      <c r="AB50" s="344"/>
      <c r="AC50" s="344"/>
      <c r="AD50" s="344"/>
      <c r="AE50" s="344"/>
      <c r="AF50" s="344"/>
      <c r="AG50" s="344"/>
      <c r="AH50" s="344"/>
      <c r="AI50" s="344"/>
    </row>
    <row r="51" spans="1:35" s="345" customFormat="1" x14ac:dyDescent="0.25">
      <c r="A51" s="290">
        <v>50</v>
      </c>
      <c r="B51" s="311"/>
      <c r="C51" s="292"/>
      <c r="D51" s="302"/>
      <c r="E51" s="302"/>
      <c r="F51" s="293"/>
      <c r="G51" s="314"/>
      <c r="H51" s="329"/>
      <c r="I51" s="312"/>
      <c r="J51" s="304"/>
      <c r="K51" s="298"/>
      <c r="L51" s="304"/>
      <c r="M51" s="313"/>
      <c r="N51" s="313"/>
      <c r="O51" s="312"/>
      <c r="P51" s="313"/>
      <c r="Q51" s="372"/>
      <c r="R51" s="344"/>
      <c r="S51" s="344"/>
      <c r="T51" s="344"/>
      <c r="U51" s="344"/>
      <c r="V51" s="344"/>
      <c r="W51" s="344"/>
      <c r="X51" s="344"/>
      <c r="Y51" s="344"/>
      <c r="Z51" s="344"/>
      <c r="AA51" s="344"/>
      <c r="AB51" s="344"/>
      <c r="AC51" s="344"/>
      <c r="AD51" s="344"/>
      <c r="AE51" s="344"/>
      <c r="AF51" s="344"/>
      <c r="AG51" s="344"/>
      <c r="AH51" s="344"/>
      <c r="AI51" s="344"/>
    </row>
    <row r="52" spans="1:35" s="348" customFormat="1" ht="13.8" x14ac:dyDescent="0.3">
      <c r="A52" s="697" t="s">
        <v>87</v>
      </c>
      <c r="B52" s="697"/>
      <c r="C52" s="357">
        <f>COUNTA(C6:C51)</f>
        <v>0</v>
      </c>
      <c r="D52" s="357"/>
      <c r="E52" s="357"/>
      <c r="F52" s="358"/>
      <c r="G52" s="359"/>
      <c r="H52" s="295"/>
      <c r="I52" s="359"/>
      <c r="J52" s="360"/>
      <c r="K52" s="361"/>
      <c r="L52" s="360"/>
      <c r="M52" s="362"/>
      <c r="N52" s="363"/>
      <c r="O52" s="363"/>
      <c r="P52" s="363"/>
      <c r="Q52" s="374"/>
      <c r="R52" s="376"/>
      <c r="S52" s="376"/>
      <c r="T52" s="376"/>
      <c r="U52" s="376"/>
      <c r="V52" s="376"/>
      <c r="W52" s="376"/>
      <c r="X52" s="376"/>
      <c r="Y52" s="376"/>
      <c r="Z52" s="376"/>
      <c r="AA52" s="376"/>
      <c r="AB52" s="376"/>
      <c r="AC52" s="376"/>
      <c r="AD52" s="376"/>
      <c r="AE52" s="376"/>
      <c r="AF52" s="376"/>
      <c r="AG52" s="376"/>
      <c r="AH52" s="376"/>
      <c r="AI52" s="376"/>
    </row>
    <row r="53" spans="1:35" s="301" customFormat="1" ht="17.399999999999999" x14ac:dyDescent="0.3">
      <c r="A53" s="364"/>
      <c r="B53" s="365"/>
      <c r="C53" s="293"/>
      <c r="D53" s="365"/>
      <c r="E53" s="365"/>
      <c r="F53" s="365"/>
      <c r="G53" s="366">
        <f>SUM(G52:G52)</f>
        <v>0</v>
      </c>
      <c r="H53" s="366"/>
      <c r="I53" s="340"/>
      <c r="J53" s="364"/>
      <c r="K53" s="367">
        <f>K52</f>
        <v>0</v>
      </c>
      <c r="L53" s="364"/>
      <c r="M53" s="364"/>
      <c r="N53" s="364"/>
      <c r="O53" s="340"/>
      <c r="P53" s="364"/>
      <c r="Q53" s="375"/>
    </row>
    <row r="54" spans="1:35" s="351" customFormat="1" x14ac:dyDescent="0.3">
      <c r="A54" s="698"/>
      <c r="B54" s="698"/>
      <c r="C54" s="698"/>
      <c r="D54" s="698"/>
      <c r="E54" s="698"/>
      <c r="F54" s="698"/>
      <c r="G54" s="698"/>
      <c r="H54" s="698"/>
      <c r="I54" s="698"/>
      <c r="J54" s="698"/>
      <c r="K54" s="698"/>
      <c r="L54" s="698"/>
      <c r="M54" s="698"/>
      <c r="N54" s="698"/>
      <c r="O54" s="698"/>
      <c r="P54" s="698"/>
      <c r="Q54" s="698"/>
    </row>
    <row r="55" spans="1:35" s="301" customFormat="1" x14ac:dyDescent="0.3">
      <c r="A55" s="349"/>
      <c r="B55" s="350"/>
      <c r="C55" s="342"/>
      <c r="D55" s="350"/>
      <c r="E55" s="350"/>
      <c r="F55" s="350"/>
      <c r="G55" s="349"/>
      <c r="H55" s="349"/>
      <c r="I55" s="352"/>
      <c r="J55" s="353"/>
      <c r="K55" s="354"/>
      <c r="L55" s="353"/>
      <c r="M55" s="355"/>
      <c r="N55" s="355"/>
      <c r="O55" s="355"/>
      <c r="P55" s="355"/>
      <c r="Q55" s="355"/>
    </row>
    <row r="56" spans="1:35" s="301" customFormat="1" x14ac:dyDescent="0.3">
      <c r="B56" s="288"/>
      <c r="C56" s="331"/>
      <c r="D56" s="288"/>
      <c r="E56" s="288"/>
      <c r="F56" s="288"/>
      <c r="I56" s="332"/>
      <c r="J56" s="356"/>
      <c r="K56" s="333"/>
      <c r="L56" s="356"/>
      <c r="M56" s="334"/>
      <c r="N56" s="334"/>
      <c r="O56" s="334"/>
      <c r="P56" s="334"/>
      <c r="Q56" s="334"/>
    </row>
    <row r="57" spans="1:35" s="301" customFormat="1" x14ac:dyDescent="0.3">
      <c r="B57" s="288"/>
      <c r="C57" s="331"/>
      <c r="D57" s="288"/>
      <c r="E57" s="288"/>
      <c r="F57" s="288"/>
      <c r="I57" s="332"/>
      <c r="J57" s="356"/>
      <c r="K57" s="333"/>
      <c r="L57" s="356"/>
      <c r="M57" s="334"/>
      <c r="N57" s="334"/>
      <c r="O57" s="334"/>
      <c r="P57" s="334"/>
      <c r="Q57" s="334"/>
    </row>
    <row r="58" spans="1:35" s="301" customFormat="1" x14ac:dyDescent="0.3">
      <c r="B58" s="288"/>
      <c r="C58" s="331"/>
      <c r="D58" s="288"/>
      <c r="E58" s="288"/>
      <c r="F58" s="288"/>
      <c r="I58" s="332"/>
      <c r="J58" s="356"/>
      <c r="K58" s="333"/>
      <c r="L58" s="356"/>
      <c r="M58" s="334"/>
      <c r="N58" s="334"/>
      <c r="O58" s="334"/>
      <c r="P58" s="334"/>
      <c r="Q58" s="334"/>
    </row>
    <row r="59" spans="1:35" s="301" customFormat="1" x14ac:dyDescent="0.3">
      <c r="B59" s="288"/>
      <c r="C59" s="331"/>
      <c r="D59" s="288"/>
      <c r="E59" s="288"/>
      <c r="F59" s="288"/>
      <c r="I59" s="332"/>
      <c r="J59" s="334"/>
      <c r="K59" s="333"/>
      <c r="L59" s="334"/>
      <c r="M59" s="334"/>
      <c r="N59" s="334"/>
      <c r="O59" s="334"/>
      <c r="P59" s="334"/>
      <c r="Q59" s="334"/>
    </row>
    <row r="60" spans="1:35" s="301" customFormat="1" x14ac:dyDescent="0.3">
      <c r="B60" s="288"/>
      <c r="C60" s="331"/>
      <c r="D60" s="288"/>
      <c r="E60" s="288"/>
      <c r="F60" s="288"/>
      <c r="I60" s="332"/>
      <c r="J60" s="334"/>
      <c r="K60" s="333"/>
      <c r="L60" s="334"/>
      <c r="M60" s="334"/>
      <c r="N60" s="334"/>
      <c r="O60" s="334"/>
      <c r="P60" s="334"/>
      <c r="Q60" s="334"/>
    </row>
    <row r="61" spans="1:35" s="301" customFormat="1" x14ac:dyDescent="0.3">
      <c r="B61" s="288"/>
      <c r="C61" s="331"/>
      <c r="D61" s="288"/>
      <c r="E61" s="288"/>
      <c r="F61" s="288"/>
      <c r="I61" s="332"/>
      <c r="J61" s="334"/>
      <c r="K61" s="333"/>
      <c r="L61" s="334"/>
      <c r="M61" s="334"/>
      <c r="N61" s="334"/>
      <c r="O61" s="334"/>
      <c r="P61" s="334"/>
      <c r="Q61" s="334"/>
    </row>
    <row r="62" spans="1:35" s="301" customFormat="1" x14ac:dyDescent="0.3">
      <c r="B62" s="288"/>
      <c r="C62" s="331"/>
      <c r="D62" s="288"/>
      <c r="E62" s="288"/>
      <c r="F62" s="288"/>
      <c r="I62" s="332"/>
      <c r="J62" s="334"/>
      <c r="K62" s="333"/>
      <c r="L62" s="334"/>
      <c r="M62" s="334"/>
      <c r="N62" s="334"/>
      <c r="O62" s="334"/>
      <c r="P62" s="334"/>
      <c r="Q62" s="334"/>
    </row>
    <row r="63" spans="1:35" s="301" customFormat="1" x14ac:dyDescent="0.3">
      <c r="B63" s="288"/>
      <c r="C63" s="331"/>
      <c r="D63" s="288"/>
      <c r="E63" s="288"/>
      <c r="F63" s="288"/>
      <c r="I63" s="332"/>
      <c r="J63" s="334"/>
      <c r="K63" s="333"/>
      <c r="L63" s="334"/>
      <c r="M63" s="334"/>
      <c r="N63" s="334"/>
      <c r="O63" s="334"/>
      <c r="P63" s="334"/>
      <c r="Q63" s="334"/>
    </row>
    <row r="64" spans="1:35" s="301" customFormat="1" x14ac:dyDescent="0.3">
      <c r="B64" s="288"/>
      <c r="C64" s="331"/>
      <c r="D64" s="288"/>
      <c r="E64" s="288"/>
      <c r="F64" s="288"/>
      <c r="I64" s="332"/>
      <c r="J64" s="334"/>
      <c r="K64" s="333"/>
      <c r="L64" s="334"/>
      <c r="M64" s="334"/>
      <c r="N64" s="334"/>
      <c r="O64" s="334"/>
      <c r="P64" s="334"/>
      <c r="Q64" s="334"/>
    </row>
    <row r="65" spans="2:17" s="301" customFormat="1" x14ac:dyDescent="0.3">
      <c r="B65" s="288"/>
      <c r="C65" s="331"/>
      <c r="D65" s="288"/>
      <c r="E65" s="288"/>
      <c r="F65" s="288"/>
      <c r="I65" s="332"/>
      <c r="J65" s="334"/>
      <c r="K65" s="333"/>
      <c r="L65" s="334"/>
      <c r="M65" s="334"/>
      <c r="N65" s="334"/>
      <c r="O65" s="334"/>
      <c r="P65" s="334"/>
      <c r="Q65" s="334"/>
    </row>
    <row r="66" spans="2:17" s="301" customFormat="1" x14ac:dyDescent="0.3">
      <c r="B66" s="288"/>
      <c r="C66" s="331"/>
      <c r="D66" s="288"/>
      <c r="E66" s="288"/>
      <c r="F66" s="288"/>
      <c r="I66" s="332"/>
      <c r="J66" s="334"/>
      <c r="K66" s="333"/>
      <c r="L66" s="334"/>
      <c r="M66" s="334"/>
      <c r="N66" s="334"/>
      <c r="O66" s="334"/>
      <c r="P66" s="334"/>
      <c r="Q66" s="334"/>
    </row>
    <row r="67" spans="2:17" s="301" customFormat="1" x14ac:dyDescent="0.3">
      <c r="B67" s="288"/>
      <c r="C67" s="331"/>
      <c r="D67" s="288"/>
      <c r="E67" s="288"/>
      <c r="F67" s="288"/>
      <c r="I67" s="332"/>
      <c r="J67" s="334"/>
      <c r="K67" s="333"/>
      <c r="L67" s="334"/>
      <c r="M67" s="334"/>
      <c r="N67" s="334"/>
      <c r="O67" s="334"/>
      <c r="P67" s="334"/>
      <c r="Q67" s="334"/>
    </row>
    <row r="68" spans="2:17" s="301" customFormat="1" x14ac:dyDescent="0.3">
      <c r="B68" s="288"/>
      <c r="C68" s="331"/>
      <c r="D68" s="288"/>
      <c r="E68" s="288"/>
      <c r="F68" s="288"/>
      <c r="I68" s="332"/>
      <c r="J68" s="334"/>
      <c r="K68" s="333"/>
      <c r="L68" s="334"/>
      <c r="M68" s="334"/>
      <c r="N68" s="334"/>
      <c r="O68" s="334"/>
      <c r="P68" s="334"/>
      <c r="Q68" s="334"/>
    </row>
    <row r="69" spans="2:17" s="301" customFormat="1" x14ac:dyDescent="0.3">
      <c r="B69" s="288"/>
      <c r="C69" s="331"/>
      <c r="D69" s="288"/>
      <c r="E69" s="288"/>
      <c r="F69" s="288"/>
      <c r="I69" s="332"/>
      <c r="J69" s="334"/>
      <c r="K69" s="333"/>
      <c r="L69" s="334"/>
      <c r="M69" s="334"/>
      <c r="N69" s="334"/>
      <c r="O69" s="334"/>
      <c r="P69" s="334"/>
      <c r="Q69" s="334"/>
    </row>
    <row r="70" spans="2:17" s="301" customFormat="1" x14ac:dyDescent="0.3">
      <c r="B70" s="288"/>
      <c r="C70" s="331"/>
      <c r="D70" s="288"/>
      <c r="E70" s="288"/>
      <c r="F70" s="288"/>
      <c r="I70" s="332"/>
      <c r="J70" s="334"/>
      <c r="K70" s="333"/>
      <c r="L70" s="334"/>
      <c r="M70" s="334"/>
      <c r="N70" s="334"/>
      <c r="O70" s="334"/>
      <c r="P70" s="334"/>
      <c r="Q70" s="334"/>
    </row>
    <row r="71" spans="2:17" s="301" customFormat="1" x14ac:dyDescent="0.3">
      <c r="B71" s="288"/>
      <c r="C71" s="331"/>
      <c r="D71" s="288"/>
      <c r="E71" s="288"/>
      <c r="F71" s="288"/>
      <c r="I71" s="332"/>
      <c r="J71" s="334"/>
      <c r="K71" s="333"/>
      <c r="L71" s="334"/>
      <c r="M71" s="334"/>
      <c r="N71" s="334"/>
      <c r="O71" s="334"/>
      <c r="P71" s="334"/>
      <c r="Q71" s="334"/>
    </row>
    <row r="72" spans="2:17" s="301" customFormat="1" x14ac:dyDescent="0.3">
      <c r="B72" s="288"/>
      <c r="C72" s="331"/>
      <c r="D72" s="288"/>
      <c r="E72" s="288"/>
      <c r="F72" s="288"/>
      <c r="I72" s="332"/>
      <c r="J72" s="334"/>
      <c r="K72" s="333"/>
      <c r="L72" s="334"/>
      <c r="M72" s="334"/>
      <c r="N72" s="334"/>
      <c r="O72" s="334"/>
      <c r="P72" s="334"/>
      <c r="Q72" s="334"/>
    </row>
    <row r="73" spans="2:17" s="301" customFormat="1" x14ac:dyDescent="0.3">
      <c r="B73" s="288"/>
      <c r="C73" s="331"/>
      <c r="D73" s="288"/>
      <c r="E73" s="288"/>
      <c r="F73" s="288"/>
      <c r="I73" s="332"/>
      <c r="J73" s="334"/>
      <c r="K73" s="333"/>
      <c r="L73" s="334"/>
      <c r="M73" s="334"/>
      <c r="N73" s="334"/>
      <c r="O73" s="334"/>
      <c r="P73" s="334"/>
      <c r="Q73" s="334"/>
    </row>
    <row r="74" spans="2:17" s="301" customFormat="1" x14ac:dyDescent="0.3">
      <c r="B74" s="288"/>
      <c r="C74" s="331"/>
      <c r="D74" s="288"/>
      <c r="E74" s="288"/>
      <c r="F74" s="288"/>
      <c r="I74" s="332"/>
      <c r="J74" s="334"/>
      <c r="K74" s="333"/>
      <c r="L74" s="334"/>
      <c r="M74" s="334"/>
      <c r="N74" s="334"/>
      <c r="O74" s="334"/>
      <c r="P74" s="334"/>
      <c r="Q74" s="334"/>
    </row>
    <row r="75" spans="2:17" s="301" customFormat="1" x14ac:dyDescent="0.3">
      <c r="B75" s="288"/>
      <c r="C75" s="331"/>
      <c r="D75" s="288"/>
      <c r="E75" s="288"/>
      <c r="F75" s="288"/>
      <c r="I75" s="332"/>
      <c r="J75" s="334"/>
      <c r="K75" s="333"/>
      <c r="L75" s="334"/>
      <c r="M75" s="334"/>
      <c r="N75" s="334"/>
      <c r="O75" s="334"/>
      <c r="P75" s="334"/>
      <c r="Q75" s="334"/>
    </row>
    <row r="76" spans="2:17" s="301" customFormat="1" x14ac:dyDescent="0.3">
      <c r="B76" s="288"/>
      <c r="C76" s="331"/>
      <c r="D76" s="288"/>
      <c r="E76" s="288"/>
      <c r="F76" s="288"/>
      <c r="I76" s="332"/>
      <c r="J76" s="334"/>
      <c r="K76" s="333"/>
      <c r="L76" s="334"/>
      <c r="M76" s="334"/>
      <c r="N76" s="334"/>
      <c r="O76" s="334"/>
      <c r="P76" s="334"/>
      <c r="Q76" s="334"/>
    </row>
    <row r="77" spans="2:17" s="301" customFormat="1" x14ac:dyDescent="0.3">
      <c r="B77" s="288"/>
      <c r="C77" s="331"/>
      <c r="D77" s="288"/>
      <c r="E77" s="288"/>
      <c r="F77" s="288"/>
      <c r="I77" s="332"/>
      <c r="J77" s="334"/>
      <c r="K77" s="333"/>
      <c r="L77" s="334"/>
      <c r="M77" s="334"/>
      <c r="N77" s="334"/>
      <c r="O77" s="334"/>
      <c r="P77" s="334"/>
      <c r="Q77" s="334"/>
    </row>
    <row r="78" spans="2:17" s="301" customFormat="1" x14ac:dyDescent="0.3">
      <c r="B78" s="288"/>
      <c r="C78" s="331"/>
      <c r="D78" s="288"/>
      <c r="E78" s="288"/>
      <c r="F78" s="288"/>
      <c r="I78" s="332"/>
      <c r="J78" s="334"/>
      <c r="K78" s="333"/>
      <c r="L78" s="334"/>
      <c r="M78" s="334"/>
      <c r="N78" s="334"/>
      <c r="O78" s="334"/>
      <c r="P78" s="334"/>
      <c r="Q78" s="334"/>
    </row>
    <row r="79" spans="2:17" s="301" customFormat="1" x14ac:dyDescent="0.3">
      <c r="B79" s="288"/>
      <c r="C79" s="331"/>
      <c r="D79" s="288"/>
      <c r="E79" s="288"/>
      <c r="F79" s="288"/>
      <c r="I79" s="332"/>
      <c r="J79" s="334"/>
      <c r="K79" s="333"/>
      <c r="L79" s="334"/>
      <c r="M79" s="334"/>
      <c r="N79" s="334"/>
      <c r="O79" s="334"/>
      <c r="P79" s="334"/>
      <c r="Q79" s="334"/>
    </row>
    <row r="80" spans="2:17" s="301" customFormat="1" x14ac:dyDescent="0.3">
      <c r="B80" s="288"/>
      <c r="C80" s="331"/>
      <c r="D80" s="288"/>
      <c r="E80" s="288"/>
      <c r="F80" s="288"/>
      <c r="I80" s="332"/>
      <c r="J80" s="334"/>
      <c r="K80" s="333"/>
      <c r="L80" s="334"/>
      <c r="M80" s="334"/>
      <c r="N80" s="334"/>
      <c r="O80" s="334"/>
      <c r="P80" s="334"/>
      <c r="Q80" s="334"/>
    </row>
    <row r="81" spans="9:9" x14ac:dyDescent="0.3">
      <c r="I81" s="332"/>
    </row>
  </sheetData>
  <autoFilter ref="A5:Q54" xr:uid="{9CCAC9D2-C63F-4A67-BE74-CAB5DFA09F01}"/>
  <mergeCells count="17">
    <mergeCell ref="N4:N5"/>
    <mergeCell ref="A52:B52"/>
    <mergeCell ref="A54:Q54"/>
    <mergeCell ref="I3:I5"/>
    <mergeCell ref="J3:J5"/>
    <mergeCell ref="K3:K5"/>
    <mergeCell ref="L3:L5"/>
    <mergeCell ref="M3:N3"/>
    <mergeCell ref="O3:O5"/>
    <mergeCell ref="A3:A5"/>
    <mergeCell ref="B3:B5"/>
    <mergeCell ref="C3:C5"/>
    <mergeCell ref="D3:D5"/>
    <mergeCell ref="E3:E5"/>
    <mergeCell ref="F3:H4"/>
    <mergeCell ref="P3:Q4"/>
    <mergeCell ref="M4:M5"/>
  </mergeCells>
  <dataValidations count="7">
    <dataValidation type="list" allowBlank="1" showInputMessage="1" showErrorMessage="1" sqref="H52:H1048576 G18:G19 G14 G47 G6:G11 G21:G32 G34:G45 G51:G1048576" xr:uid="{3930FBB4-0747-42B0-9447-54B13A1039BD}">
      <formula1>"Correction, Action Corrective, Action Préventive, Amélioration"</formula1>
    </dataValidation>
    <dataValidation type="list" allowBlank="1" showInputMessage="1" showErrorMessage="1" sqref="D47 D43:D45 D6:D11 D14:D32 D34:D41 D51" xr:uid="{944205D5-3138-4608-8D8A-282A3BE6AC36}">
      <formula1>"Client, Partenaire, Equipe DEV, Equipe SIG, QA, BA, CP, DG,PMO,DO"</formula1>
    </dataValidation>
    <dataValidation type="list" allowBlank="1" showInputMessage="1" showErrorMessage="1" sqref="E40 E36:E38 E6:E30 E32 E34" xr:uid="{2AFB139E-D26A-418C-977B-DA780FB403C6}">
      <formula1>"Audit, Réunion, Amélioration, Besoin client"</formula1>
    </dataValidation>
    <dataValidation type="list" allowBlank="1" showInputMessage="1" showErrorMessage="1" sqref="E41 E43:E45" xr:uid="{4295810E-EEF4-409E-9B1D-4A96DBA41938}">
      <formula1>"Audit Certification, Réunion, Audit Interne, Revue de Direction, Indicateur, Enquête, Risque, Ponctuelle"</formula1>
    </dataValidation>
    <dataValidation type="list" allowBlank="1" showInputMessage="1" showErrorMessage="1" sqref="E39 E47:E50 E35" xr:uid="{DD614BFB-4A87-4458-B9ED-6548AADF690A}">
      <formula1>"Audit Certification, Audit Interne, Revue de Direction, Non-Conformité, Indicateur, Enquête, Risque, Ponctuelle"</formula1>
    </dataValidation>
    <dataValidation type="list" allowBlank="1" showInputMessage="1" showErrorMessage="1" sqref="E51" xr:uid="{7C017725-1F8F-41B2-BA25-3C3D24304263}">
      <formula1>"Audit Certification, NC, Réunion, Audit Interne, Revue de Direction, Indicateur, Enquête, Risque, Ponctuelle"</formula1>
    </dataValidation>
    <dataValidation type="list" allowBlank="1" showInputMessage="1" showErrorMessage="1" sqref="E31" xr:uid="{F9A1BBD8-8808-4B40-AF0A-E8043D78E814}">
      <formula1>"Audit Certification, Réclamation, Audit Interne, Revue de Direction, Indicateur, Enquête, Risque, Ponctuelle"</formula1>
    </dataValidation>
  </dataValidations>
  <hyperlinks>
    <hyperlink ref="G1" location="Dashboard!A1" display="Tableau de bord" xr:uid="{7A6B792E-25E7-4BE3-BDCE-F46BE7D744E7}"/>
  </hyperlinks>
  <pageMargins left="0.19685039370078741" right="0.19685039370078741" top="0.31496062992125984" bottom="0.23622047244094491" header="0.19685039370078741" footer="0.15748031496062992"/>
  <pageSetup paperSize="9" scale="50" orientation="landscape" horizontalDpi="1200" verticalDpi="1200" r:id="rId1"/>
  <headerFooter alignWithMargins="0">
    <oddHeader>&amp;C&amp;F&amp;R&amp;P/&amp;N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5218-ACD4-4475-BDD8-01FFBA3A59F8}">
  <dimension ref="A1:L10"/>
  <sheetViews>
    <sheetView workbookViewId="0">
      <selection activeCell="E4" sqref="E4"/>
    </sheetView>
  </sheetViews>
  <sheetFormatPr defaultColWidth="11.44140625" defaultRowHeight="14.4" x14ac:dyDescent="0.3"/>
  <cols>
    <col min="4" max="4" width="23.44140625" customWidth="1"/>
    <col min="5" max="6" width="21.6640625" customWidth="1"/>
    <col min="7" max="7" width="25" customWidth="1"/>
    <col min="8" max="8" width="21.44140625" customWidth="1"/>
    <col min="9" max="9" width="18.33203125" customWidth="1"/>
    <col min="10" max="10" width="23" customWidth="1"/>
    <col min="11" max="11" width="33.33203125" customWidth="1"/>
    <col min="12" max="12" width="33.44140625" customWidth="1"/>
  </cols>
  <sheetData>
    <row r="1" spans="1:12" ht="21" x14ac:dyDescent="0.3">
      <c r="A1" s="250" t="s">
        <v>460</v>
      </c>
      <c r="B1" s="395"/>
      <c r="C1" s="395"/>
      <c r="D1" s="395"/>
      <c r="E1" s="395"/>
    </row>
    <row r="2" spans="1:12" ht="21.6" thickBot="1" x14ac:dyDescent="0.35">
      <c r="A2" s="250"/>
      <c r="B2" s="394"/>
      <c r="C2" s="395"/>
      <c r="D2" s="395"/>
      <c r="E2" s="395"/>
    </row>
    <row r="3" spans="1:12" s="112" customFormat="1" ht="27" thickBot="1" x14ac:dyDescent="0.35">
      <c r="A3" s="704" t="s">
        <v>461</v>
      </c>
      <c r="B3" s="705"/>
      <c r="C3" s="397" t="s">
        <v>462</v>
      </c>
      <c r="D3" s="397" t="s">
        <v>463</v>
      </c>
      <c r="E3" s="397" t="s">
        <v>464</v>
      </c>
      <c r="F3" s="398" t="s">
        <v>95</v>
      </c>
      <c r="G3" s="398" t="s">
        <v>465</v>
      </c>
      <c r="H3" s="398" t="s">
        <v>466</v>
      </c>
      <c r="I3" s="396" t="s">
        <v>467</v>
      </c>
      <c r="J3" s="396" t="s">
        <v>455</v>
      </c>
      <c r="K3" s="396" t="s">
        <v>468</v>
      </c>
      <c r="L3" s="399" t="s">
        <v>438</v>
      </c>
    </row>
    <row r="4" spans="1:12" x14ac:dyDescent="0.3">
      <c r="A4" s="706"/>
      <c r="B4" s="707"/>
      <c r="C4" s="402"/>
      <c r="D4" s="402"/>
      <c r="E4" s="402"/>
      <c r="F4" s="388"/>
      <c r="G4" s="389"/>
      <c r="H4" s="386"/>
      <c r="I4" s="403"/>
      <c r="J4" s="386"/>
      <c r="K4" s="386"/>
      <c r="L4" s="387"/>
    </row>
    <row r="5" spans="1:12" x14ac:dyDescent="0.3">
      <c r="A5" s="700"/>
      <c r="B5" s="701"/>
      <c r="C5" s="400"/>
      <c r="D5" s="400"/>
      <c r="E5" s="400"/>
      <c r="F5" s="391"/>
      <c r="G5" s="390"/>
      <c r="H5" s="384"/>
      <c r="I5" s="401"/>
      <c r="J5" s="384"/>
      <c r="K5" s="384"/>
      <c r="L5" s="385"/>
    </row>
    <row r="6" spans="1:12" x14ac:dyDescent="0.3">
      <c r="A6" s="700"/>
      <c r="B6" s="701"/>
      <c r="C6" s="400"/>
      <c r="D6" s="400"/>
      <c r="E6" s="400"/>
      <c r="F6" s="391"/>
      <c r="G6" s="390"/>
      <c r="H6" s="384"/>
      <c r="I6" s="401"/>
      <c r="J6" s="384"/>
      <c r="K6" s="384"/>
      <c r="L6" s="385"/>
    </row>
    <row r="7" spans="1:12" x14ac:dyDescent="0.3">
      <c r="A7" s="700"/>
      <c r="B7" s="701"/>
      <c r="C7" s="400"/>
      <c r="D7" s="400"/>
      <c r="E7" s="400"/>
      <c r="F7" s="392"/>
      <c r="G7" s="390"/>
      <c r="H7" s="384"/>
      <c r="I7" s="401"/>
      <c r="J7" s="384"/>
      <c r="K7" s="384"/>
      <c r="L7" s="385"/>
    </row>
    <row r="8" spans="1:12" x14ac:dyDescent="0.3">
      <c r="A8" s="700"/>
      <c r="B8" s="701"/>
      <c r="C8" s="400"/>
      <c r="D8" s="400"/>
      <c r="E8" s="400"/>
      <c r="F8" s="393"/>
      <c r="G8" s="390"/>
      <c r="H8" s="384"/>
      <c r="I8" s="401"/>
      <c r="J8" s="384"/>
      <c r="K8" s="384"/>
      <c r="L8" s="385"/>
    </row>
    <row r="9" spans="1:12" x14ac:dyDescent="0.3">
      <c r="A9" s="700"/>
      <c r="B9" s="701"/>
      <c r="C9" s="400"/>
      <c r="D9" s="400"/>
      <c r="E9" s="400"/>
      <c r="F9" s="391"/>
      <c r="G9" s="390"/>
      <c r="H9" s="384"/>
      <c r="I9" s="401"/>
      <c r="J9" s="384"/>
      <c r="K9" s="401"/>
      <c r="L9" s="385"/>
    </row>
    <row r="10" spans="1:12" ht="15" thickBot="1" x14ac:dyDescent="0.35">
      <c r="A10" s="702"/>
      <c r="B10" s="703"/>
      <c r="C10" s="404"/>
      <c r="D10" s="404"/>
      <c r="E10" s="404"/>
      <c r="F10" s="405"/>
      <c r="G10" s="406"/>
      <c r="H10" s="407"/>
      <c r="I10" s="408"/>
      <c r="J10" s="407"/>
      <c r="K10" s="408"/>
      <c r="L10" s="409"/>
    </row>
  </sheetData>
  <mergeCells count="8">
    <mergeCell ref="A9:B9"/>
    <mergeCell ref="A10:B10"/>
    <mergeCell ref="A3:B3"/>
    <mergeCell ref="A4:B4"/>
    <mergeCell ref="A5:B5"/>
    <mergeCell ref="A6:B6"/>
    <mergeCell ref="A7:B7"/>
    <mergeCell ref="A8:B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C263-7807-4027-9069-08D48D809427}">
  <dimension ref="A1:M11"/>
  <sheetViews>
    <sheetView showGridLines="0" zoomScale="115" zoomScaleNormal="115" workbookViewId="0">
      <selection activeCell="M2" sqref="M2"/>
    </sheetView>
  </sheetViews>
  <sheetFormatPr defaultColWidth="11.44140625" defaultRowHeight="14.4" x14ac:dyDescent="0.3"/>
  <cols>
    <col min="1" max="1" width="18.33203125" customWidth="1"/>
    <col min="2" max="2" width="16.33203125" customWidth="1"/>
    <col min="3" max="3" width="13" customWidth="1"/>
    <col min="5" max="5" width="7.109375" customWidth="1"/>
  </cols>
  <sheetData>
    <row r="1" spans="1:13" ht="49.95" customHeight="1" thickBot="1" x14ac:dyDescent="0.35">
      <c r="A1" s="11" t="s">
        <v>469</v>
      </c>
      <c r="B1" s="12" t="s">
        <v>470</v>
      </c>
      <c r="C1" s="12" t="s">
        <v>471</v>
      </c>
      <c r="D1" s="12" t="s">
        <v>102</v>
      </c>
      <c r="E1" s="12" t="s">
        <v>108</v>
      </c>
      <c r="F1" s="12" t="s">
        <v>472</v>
      </c>
      <c r="G1" s="12" t="s">
        <v>473</v>
      </c>
      <c r="H1" s="12" t="s">
        <v>474</v>
      </c>
      <c r="I1" s="12" t="s">
        <v>475</v>
      </c>
      <c r="J1" s="12" t="s">
        <v>476</v>
      </c>
      <c r="K1" s="13" t="s">
        <v>477</v>
      </c>
    </row>
    <row r="2" spans="1:13" ht="15" thickBot="1" x14ac:dyDescent="0.35">
      <c r="A2" s="20"/>
      <c r="B2" s="14"/>
      <c r="C2" s="14"/>
      <c r="D2" s="14">
        <v>0</v>
      </c>
      <c r="E2" s="14"/>
      <c r="F2" s="14"/>
      <c r="G2" s="14">
        <v>0</v>
      </c>
      <c r="H2" s="14">
        <v>0</v>
      </c>
      <c r="I2" s="14">
        <v>0</v>
      </c>
      <c r="J2" s="14">
        <v>0</v>
      </c>
      <c r="K2" s="21" t="str">
        <f t="shared" ref="K2:K11" si="0">IFERROR((I2-J2)/B2,"")</f>
        <v/>
      </c>
      <c r="M2" s="30" t="s">
        <v>4</v>
      </c>
    </row>
    <row r="3" spans="1:13" x14ac:dyDescent="0.3">
      <c r="A3" s="1"/>
      <c r="B3" s="14"/>
      <c r="C3" s="14"/>
      <c r="D3" s="14"/>
      <c r="E3" s="14"/>
      <c r="F3" s="14"/>
      <c r="G3" s="14"/>
      <c r="H3" s="14"/>
      <c r="I3" s="14"/>
      <c r="J3" s="14"/>
      <c r="K3" s="15" t="str">
        <f t="shared" si="0"/>
        <v/>
      </c>
    </row>
    <row r="4" spans="1:13" x14ac:dyDescent="0.3">
      <c r="A4" s="1"/>
      <c r="B4" s="14"/>
      <c r="C4" s="14"/>
      <c r="D4" s="14"/>
      <c r="E4" s="14"/>
      <c r="F4" s="14"/>
      <c r="G4" s="14"/>
      <c r="H4" s="14"/>
      <c r="I4" s="14"/>
      <c r="J4" s="14"/>
      <c r="K4" s="15" t="str">
        <f t="shared" si="0"/>
        <v/>
      </c>
    </row>
    <row r="5" spans="1:13" x14ac:dyDescent="0.3">
      <c r="A5" s="1"/>
      <c r="B5" s="14"/>
      <c r="C5" s="14"/>
      <c r="D5" s="14"/>
      <c r="E5" s="14"/>
      <c r="F5" s="14"/>
      <c r="G5" s="14"/>
      <c r="H5" s="14"/>
      <c r="I5" s="14"/>
      <c r="J5" s="14"/>
      <c r="K5" s="15" t="str">
        <f t="shared" si="0"/>
        <v/>
      </c>
    </row>
    <row r="6" spans="1:13" x14ac:dyDescent="0.3">
      <c r="A6" s="1"/>
      <c r="B6" s="14"/>
      <c r="C6" s="14"/>
      <c r="D6" s="14"/>
      <c r="E6" s="14"/>
      <c r="F6" s="14"/>
      <c r="G6" s="14"/>
      <c r="H6" s="14"/>
      <c r="I6" s="14"/>
      <c r="J6" s="14"/>
      <c r="K6" s="15" t="str">
        <f t="shared" si="0"/>
        <v/>
      </c>
    </row>
    <row r="7" spans="1:13" x14ac:dyDescent="0.3">
      <c r="A7" s="1"/>
      <c r="B7" s="14"/>
      <c r="C7" s="14"/>
      <c r="D7" s="14"/>
      <c r="E7" s="14"/>
      <c r="F7" s="14"/>
      <c r="G7" s="14"/>
      <c r="H7" s="14"/>
      <c r="I7" s="14"/>
      <c r="J7" s="14"/>
      <c r="K7" s="15" t="str">
        <f t="shared" si="0"/>
        <v/>
      </c>
    </row>
    <row r="8" spans="1:13" x14ac:dyDescent="0.3">
      <c r="A8" s="1"/>
      <c r="B8" s="14"/>
      <c r="C8" s="14"/>
      <c r="D8" s="14"/>
      <c r="E8" s="14"/>
      <c r="F8" s="14"/>
      <c r="G8" s="14"/>
      <c r="H8" s="14"/>
      <c r="I8" s="14"/>
      <c r="J8" s="14"/>
      <c r="K8" s="15" t="str">
        <f t="shared" si="0"/>
        <v/>
      </c>
    </row>
    <row r="9" spans="1:13" x14ac:dyDescent="0.3">
      <c r="A9" s="1"/>
      <c r="B9" s="14"/>
      <c r="C9" s="14"/>
      <c r="D9" s="14"/>
      <c r="E9" s="14"/>
      <c r="F9" s="14"/>
      <c r="G9" s="14"/>
      <c r="H9" s="14"/>
      <c r="I9" s="14"/>
      <c r="J9" s="14"/>
      <c r="K9" s="15" t="str">
        <f t="shared" si="0"/>
        <v/>
      </c>
    </row>
    <row r="10" spans="1:13" x14ac:dyDescent="0.3">
      <c r="A10" s="1"/>
      <c r="B10" s="14"/>
      <c r="C10" s="14"/>
      <c r="D10" s="14"/>
      <c r="E10" s="14"/>
      <c r="F10" s="14"/>
      <c r="G10" s="14"/>
      <c r="H10" s="14"/>
      <c r="I10" s="14"/>
      <c r="J10" s="14"/>
      <c r="K10" s="15" t="str">
        <f t="shared" si="0"/>
        <v/>
      </c>
    </row>
    <row r="11" spans="1:13" x14ac:dyDescent="0.3">
      <c r="A11" s="1"/>
      <c r="B11" s="14"/>
      <c r="C11" s="14"/>
      <c r="D11" s="14"/>
      <c r="E11" s="14"/>
      <c r="F11" s="14"/>
      <c r="G11" s="14"/>
      <c r="H11" s="14"/>
      <c r="I11" s="14"/>
      <c r="J11" s="14"/>
      <c r="K11" s="15" t="str">
        <f t="shared" si="0"/>
        <v/>
      </c>
    </row>
  </sheetData>
  <hyperlinks>
    <hyperlink ref="M2" location="Dashboard!A1" display="Tableau de bord" xr:uid="{9F031069-4C4D-4139-B27C-BD5D40BA6E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561F-10E5-F249-8AD7-616EF27F7DF0}">
  <sheetPr>
    <tabColor rgb="FFFF0000"/>
  </sheetPr>
  <dimension ref="A1:AA54"/>
  <sheetViews>
    <sheetView zoomScaleNormal="100" workbookViewId="0">
      <pane xSplit="2" ySplit="6" topLeftCell="O19" activePane="bottomRight" state="frozen"/>
      <selection pane="topRight" activeCell="C1" sqref="C1"/>
      <selection pane="bottomLeft" activeCell="A7" sqref="A7"/>
      <selection pane="bottomRight" activeCell="Y54" sqref="Y54"/>
    </sheetView>
  </sheetViews>
  <sheetFormatPr defaultColWidth="11.44140625" defaultRowHeight="14.4" x14ac:dyDescent="0.3"/>
  <cols>
    <col min="1" max="1" width="28.33203125" customWidth="1"/>
    <col min="2" max="2" width="15.6640625" customWidth="1"/>
    <col min="3" max="3" width="16" bestFit="1" customWidth="1"/>
    <col min="4" max="11" width="14.6640625" bestFit="1" customWidth="1"/>
    <col min="12" max="12" width="16.33203125" bestFit="1" customWidth="1"/>
    <col min="13" max="13" width="14.6640625" bestFit="1" customWidth="1"/>
    <col min="14" max="15" width="16.33203125" bestFit="1" customWidth="1"/>
    <col min="16" max="27" width="15.44140625" bestFit="1" customWidth="1"/>
  </cols>
  <sheetData>
    <row r="1" spans="1:27" x14ac:dyDescent="0.3">
      <c r="A1" t="s">
        <v>174</v>
      </c>
      <c r="C1" s="473">
        <f>Dashboard!C22</f>
        <v>45997</v>
      </c>
    </row>
    <row r="2" spans="1:27" x14ac:dyDescent="0.3">
      <c r="A2" t="s">
        <v>175</v>
      </c>
      <c r="C2" t="str">
        <f>Dashboard!C7</f>
        <v>A24001 - PFS_AIE</v>
      </c>
    </row>
    <row r="3" spans="1:27" x14ac:dyDescent="0.3">
      <c r="A3" t="s">
        <v>176</v>
      </c>
      <c r="C3" s="121">
        <f>'Fiche identification'!B11</f>
        <v>45328</v>
      </c>
    </row>
    <row r="4" spans="1:27" x14ac:dyDescent="0.3">
      <c r="A4" t="s">
        <v>177</v>
      </c>
      <c r="C4">
        <f>'Fiche identification'!B13</f>
        <v>731</v>
      </c>
    </row>
    <row r="6" spans="1:27" x14ac:dyDescent="0.3">
      <c r="A6" s="188" t="s">
        <v>178</v>
      </c>
      <c r="B6" s="189" t="s">
        <v>179</v>
      </c>
      <c r="C6" s="184">
        <f>C3</f>
        <v>45328</v>
      </c>
      <c r="D6" s="184">
        <f>DATE(YEAR(C6), MONTH(C6)+1, DAY(C6))</f>
        <v>45357</v>
      </c>
      <c r="E6" s="184">
        <f t="shared" ref="E6:N6" si="0">DATE(YEAR(D6), MONTH(D6)+1, DAY(D6))</f>
        <v>45388</v>
      </c>
      <c r="F6" s="184">
        <f t="shared" si="0"/>
        <v>45418</v>
      </c>
      <c r="G6" s="184">
        <f t="shared" si="0"/>
        <v>45449</v>
      </c>
      <c r="H6" s="184">
        <f t="shared" si="0"/>
        <v>45479</v>
      </c>
      <c r="I6" s="184">
        <f t="shared" si="0"/>
        <v>45510</v>
      </c>
      <c r="J6" s="184">
        <f t="shared" si="0"/>
        <v>45541</v>
      </c>
      <c r="K6" s="184">
        <f t="shared" si="0"/>
        <v>45571</v>
      </c>
      <c r="L6" s="184">
        <f t="shared" si="0"/>
        <v>45602</v>
      </c>
      <c r="M6" s="184">
        <f t="shared" si="0"/>
        <v>45632</v>
      </c>
      <c r="N6" s="184">
        <f t="shared" si="0"/>
        <v>45663</v>
      </c>
      <c r="O6" s="184">
        <f t="shared" ref="O6" si="1">DATE(YEAR(N6), MONTH(N6)+1, DAY(N6))</f>
        <v>45694</v>
      </c>
      <c r="P6" s="184">
        <f t="shared" ref="P6" si="2">DATE(YEAR(O6), MONTH(O6)+1, DAY(O6))</f>
        <v>45722</v>
      </c>
      <c r="Q6" s="184">
        <f t="shared" ref="Q6" si="3">DATE(YEAR(P6), MONTH(P6)+1, DAY(P6))</f>
        <v>45753</v>
      </c>
      <c r="R6" s="184">
        <f t="shared" ref="R6" si="4">DATE(YEAR(Q6), MONTH(Q6)+1, DAY(Q6))</f>
        <v>45783</v>
      </c>
      <c r="S6" s="184">
        <f t="shared" ref="S6" si="5">DATE(YEAR(R6), MONTH(R6)+1, DAY(R6))</f>
        <v>45814</v>
      </c>
      <c r="T6" s="184">
        <f t="shared" ref="T6" si="6">DATE(YEAR(S6), MONTH(S6)+1, DAY(S6))</f>
        <v>45844</v>
      </c>
      <c r="U6" s="184">
        <f t="shared" ref="U6" si="7">DATE(YEAR(T6), MONTH(T6)+1, DAY(T6))</f>
        <v>45875</v>
      </c>
      <c r="V6" s="184">
        <f t="shared" ref="V6" si="8">DATE(YEAR(U6), MONTH(U6)+1, DAY(U6))</f>
        <v>45906</v>
      </c>
      <c r="W6" s="184">
        <f t="shared" ref="W6" si="9">DATE(YEAR(V6), MONTH(V6)+1, DAY(V6))</f>
        <v>45936</v>
      </c>
      <c r="X6" s="184">
        <f t="shared" ref="X6" si="10">DATE(YEAR(W6), MONTH(W6)+1, DAY(W6))</f>
        <v>45967</v>
      </c>
      <c r="Y6" s="184">
        <f t="shared" ref="Y6" si="11">DATE(YEAR(X6), MONTH(X6)+1, DAY(X6))</f>
        <v>45997</v>
      </c>
      <c r="Z6" s="184">
        <f t="shared" ref="Z6:AA6" si="12">DATE(YEAR(Y6), MONTH(Y6)+1, DAY(Y6))</f>
        <v>46028</v>
      </c>
      <c r="AA6" s="184">
        <f t="shared" si="12"/>
        <v>46059</v>
      </c>
    </row>
    <row r="7" spans="1:27" s="499" customFormat="1" x14ac:dyDescent="0.3">
      <c r="A7" s="498" t="s">
        <v>180</v>
      </c>
      <c r="B7" s="498">
        <f>HLOOKUP($C$1,$C$6:$AA$9,2,0)</f>
        <v>1269861.4643999999</v>
      </c>
      <c r="C7" s="627">
        <f>'Fiche identification'!$B$23</f>
        <v>1269861.4643999999</v>
      </c>
      <c r="D7" s="627">
        <f>'Fiche identification'!$B$23</f>
        <v>1269861.4643999999</v>
      </c>
      <c r="E7" s="627">
        <f>'Fiche identification'!$B$23</f>
        <v>1269861.4643999999</v>
      </c>
      <c r="F7" s="627">
        <f>'Fiche identification'!$B$23</f>
        <v>1269861.4643999999</v>
      </c>
      <c r="G7" s="627">
        <f>'Fiche identification'!$B$23</f>
        <v>1269861.4643999999</v>
      </c>
      <c r="H7" s="627">
        <f>'Fiche identification'!$B$23</f>
        <v>1269861.4643999999</v>
      </c>
      <c r="I7" s="627">
        <f>'Fiche identification'!$B$23</f>
        <v>1269861.4643999999</v>
      </c>
      <c r="J7" s="627">
        <f>'Fiche identification'!$B$23</f>
        <v>1269861.4643999999</v>
      </c>
      <c r="K7" s="627">
        <f>'Fiche identification'!$B$23</f>
        <v>1269861.4643999999</v>
      </c>
      <c r="L7" s="627">
        <f>'Fiche identification'!$B$23</f>
        <v>1269861.4643999999</v>
      </c>
      <c r="M7" s="627">
        <f>'Fiche identification'!$B$23</f>
        <v>1269861.4643999999</v>
      </c>
      <c r="N7" s="627">
        <f>'Fiche identification'!$B$23</f>
        <v>1269861.4643999999</v>
      </c>
      <c r="O7" s="627">
        <f>'Fiche identification'!$B$23</f>
        <v>1269861.4643999999</v>
      </c>
      <c r="P7" s="627">
        <f>'Fiche identification'!$B$23</f>
        <v>1269861.4643999999</v>
      </c>
      <c r="Q7" s="627">
        <f>'Fiche identification'!$B$23</f>
        <v>1269861.4643999999</v>
      </c>
      <c r="R7" s="627">
        <f>'Fiche identification'!$B$23</f>
        <v>1269861.4643999999</v>
      </c>
      <c r="S7" s="627">
        <f>'Fiche identification'!$B$23</f>
        <v>1269861.4643999999</v>
      </c>
      <c r="T7" s="627">
        <f>'Fiche identification'!$B$23</f>
        <v>1269861.4643999999</v>
      </c>
      <c r="U7" s="627">
        <f>'Fiche identification'!$B$23</f>
        <v>1269861.4643999999</v>
      </c>
      <c r="V7" s="627">
        <f>'Fiche identification'!$B$23</f>
        <v>1269861.4643999999</v>
      </c>
      <c r="W7" s="627">
        <f>'Fiche identification'!$B$23</f>
        <v>1269861.4643999999</v>
      </c>
      <c r="X7" s="627">
        <f>'Fiche identification'!$B$23</f>
        <v>1269861.4643999999</v>
      </c>
      <c r="Y7" s="498">
        <f>'Fiche identification'!$B$23</f>
        <v>1269861.4643999999</v>
      </c>
      <c r="Z7" s="498">
        <f>'Fiche identification'!$B$23</f>
        <v>1269861.4643999999</v>
      </c>
      <c r="AA7" s="498">
        <f>'Fiche identification'!$B$23</f>
        <v>1269861.4643999999</v>
      </c>
    </row>
    <row r="8" spans="1:27" x14ac:dyDescent="0.3">
      <c r="A8" s="196" t="s">
        <v>39</v>
      </c>
      <c r="B8" s="197">
        <f>HLOOKUP($C$1,$C$6:$AA$9,3,0)</f>
        <v>46058</v>
      </c>
      <c r="C8" s="628">
        <f>'Fiche identification'!$B12</f>
        <v>46058</v>
      </c>
      <c r="D8" s="628">
        <f>'Fiche identification'!$B12</f>
        <v>46058</v>
      </c>
      <c r="E8" s="628">
        <f>'Fiche identification'!$B12</f>
        <v>46058</v>
      </c>
      <c r="F8" s="628">
        <f>'Fiche identification'!$B12</f>
        <v>46058</v>
      </c>
      <c r="G8" s="628">
        <f>'Fiche identification'!$B12</f>
        <v>46058</v>
      </c>
      <c r="H8" s="628">
        <f>'Fiche identification'!$B12</f>
        <v>46058</v>
      </c>
      <c r="I8" s="628">
        <f>'Fiche identification'!$B12</f>
        <v>46058</v>
      </c>
      <c r="J8" s="628">
        <f>'Fiche identification'!$B12</f>
        <v>46058</v>
      </c>
      <c r="K8" s="628">
        <f>'Fiche identification'!$B12</f>
        <v>46058</v>
      </c>
      <c r="L8" s="628">
        <f>'Fiche identification'!$B12</f>
        <v>46058</v>
      </c>
      <c r="M8" s="628">
        <f>'Fiche identification'!$B12</f>
        <v>46058</v>
      </c>
      <c r="N8" s="628">
        <f>'Fiche identification'!$B12</f>
        <v>46058</v>
      </c>
      <c r="O8" s="628">
        <f>'Fiche identification'!$B12</f>
        <v>46058</v>
      </c>
      <c r="P8" s="628">
        <f>'Fiche identification'!$B12</f>
        <v>46058</v>
      </c>
      <c r="Q8" s="628">
        <f>'Fiche identification'!$B12</f>
        <v>46058</v>
      </c>
      <c r="R8" s="628">
        <f>'Fiche identification'!$B12</f>
        <v>46058</v>
      </c>
      <c r="S8" s="628">
        <f>'Fiche identification'!$B12</f>
        <v>46058</v>
      </c>
      <c r="T8" s="628">
        <f>'Fiche identification'!$B12</f>
        <v>46058</v>
      </c>
      <c r="U8" s="628">
        <f>'Fiche identification'!$B12</f>
        <v>46058</v>
      </c>
      <c r="V8" s="628">
        <f>'Fiche identification'!$B12</f>
        <v>46058</v>
      </c>
      <c r="W8" s="628">
        <f>'Fiche identification'!$B12</f>
        <v>46058</v>
      </c>
      <c r="X8" s="628">
        <f>'Fiche identification'!$B12</f>
        <v>46058</v>
      </c>
      <c r="Y8" s="248">
        <f>'Fiche identification'!$B12</f>
        <v>46058</v>
      </c>
      <c r="Z8" s="248">
        <f>'Fiche identification'!$B12</f>
        <v>46058</v>
      </c>
      <c r="AA8" s="248">
        <f>'Fiche identification'!$B12</f>
        <v>46058</v>
      </c>
    </row>
    <row r="9" spans="1:27" x14ac:dyDescent="0.3">
      <c r="A9" s="174" t="s">
        <v>181</v>
      </c>
      <c r="B9" s="197">
        <f>HLOOKUP($C$1,$C$6:$AA$9,4,0)</f>
        <v>46058</v>
      </c>
      <c r="C9" s="629">
        <v>46058</v>
      </c>
      <c r="D9" s="629">
        <v>46058</v>
      </c>
      <c r="E9" s="629">
        <v>46058</v>
      </c>
      <c r="F9" s="629">
        <v>46058</v>
      </c>
      <c r="G9" s="629">
        <v>46058</v>
      </c>
      <c r="H9" s="629">
        <v>46058</v>
      </c>
      <c r="I9" s="629">
        <v>46058</v>
      </c>
      <c r="J9" s="629">
        <v>46058</v>
      </c>
      <c r="K9" s="629">
        <v>46058</v>
      </c>
      <c r="L9" s="629">
        <v>46058</v>
      </c>
      <c r="M9" s="629">
        <v>46058</v>
      </c>
      <c r="N9" s="629">
        <v>46058</v>
      </c>
      <c r="O9" s="629">
        <v>46058</v>
      </c>
      <c r="P9" s="629">
        <v>46058</v>
      </c>
      <c r="Q9" s="629">
        <v>46058</v>
      </c>
      <c r="R9" s="629">
        <v>46058</v>
      </c>
      <c r="S9" s="629">
        <v>46058</v>
      </c>
      <c r="T9" s="629">
        <v>46058</v>
      </c>
      <c r="U9" s="629">
        <v>46058</v>
      </c>
      <c r="V9" s="629">
        <v>46058</v>
      </c>
      <c r="W9" s="629">
        <v>46058</v>
      </c>
      <c r="X9" s="629">
        <v>46058</v>
      </c>
      <c r="Y9" s="249">
        <v>46058</v>
      </c>
      <c r="Z9" s="249">
        <v>46058</v>
      </c>
      <c r="AA9" s="249">
        <v>46058</v>
      </c>
    </row>
    <row r="10" spans="1:27" x14ac:dyDescent="0.3">
      <c r="A10" s="498" t="s">
        <v>182</v>
      </c>
      <c r="B10" s="270" t="e">
        <f>HLOOKUP($C$1,$C$6:$AA$10,5,0)</f>
        <v>#REF!</v>
      </c>
      <c r="C10" s="635" t="e">
        <f>'Fiche identification'!$B$24</f>
        <v>#REF!</v>
      </c>
      <c r="D10" s="635" t="e">
        <f>'Fiche identification'!$B$24</f>
        <v>#REF!</v>
      </c>
      <c r="E10" s="635" t="e">
        <f>'Fiche identification'!$B$24</f>
        <v>#REF!</v>
      </c>
      <c r="F10" s="635" t="e">
        <f>'Fiche identification'!$B$24</f>
        <v>#REF!</v>
      </c>
      <c r="G10" s="635" t="e">
        <f>'Fiche identification'!$B$24</f>
        <v>#REF!</v>
      </c>
      <c r="H10" s="635" t="e">
        <f>'Fiche identification'!$B$24</f>
        <v>#REF!</v>
      </c>
      <c r="I10" s="635" t="e">
        <f>'Fiche identification'!$B$24</f>
        <v>#REF!</v>
      </c>
      <c r="J10" s="635" t="e">
        <f>'Fiche identification'!$B$24</f>
        <v>#REF!</v>
      </c>
      <c r="K10" s="635" t="e">
        <f>'Fiche identification'!$B$24</f>
        <v>#REF!</v>
      </c>
      <c r="L10" s="635" t="e">
        <f>'Fiche identification'!$B$24</f>
        <v>#REF!</v>
      </c>
      <c r="M10" s="635" t="e">
        <f>'Fiche identification'!$B$24</f>
        <v>#REF!</v>
      </c>
      <c r="N10" s="635" t="e">
        <f>'Fiche identification'!$B$24</f>
        <v>#REF!</v>
      </c>
      <c r="O10" s="635" t="e">
        <f>'Fiche identification'!$B$24</f>
        <v>#REF!</v>
      </c>
      <c r="P10" s="635" t="e">
        <f>'Fiche identification'!$B$24</f>
        <v>#REF!</v>
      </c>
      <c r="Q10" s="635" t="e">
        <f>'Fiche identification'!$B$24</f>
        <v>#REF!</v>
      </c>
      <c r="R10" s="635" t="e">
        <f>'Fiche identification'!$B$24</f>
        <v>#REF!</v>
      </c>
      <c r="S10" s="635" t="e">
        <f>'Fiche identification'!$B$24</f>
        <v>#REF!</v>
      </c>
      <c r="T10" s="635" t="e">
        <f>'Fiche identification'!$B$24</f>
        <v>#REF!</v>
      </c>
      <c r="U10" s="635" t="e">
        <f>'Fiche identification'!$B$24</f>
        <v>#REF!</v>
      </c>
      <c r="V10" s="635" t="e">
        <f>'Fiche identification'!$B$24</f>
        <v>#REF!</v>
      </c>
      <c r="W10" s="635" t="e">
        <f>'Fiche identification'!$B$24</f>
        <v>#REF!</v>
      </c>
      <c r="X10" s="635" t="e">
        <f>'Fiche identification'!$B$24</f>
        <v>#REF!</v>
      </c>
      <c r="Y10" s="651" t="e">
        <f>'Fiche identification'!$B$24</f>
        <v>#REF!</v>
      </c>
      <c r="Z10" s="651" t="e">
        <f>'Fiche identification'!$B$24</f>
        <v>#REF!</v>
      </c>
      <c r="AA10" s="651" t="e">
        <f>'Fiche identification'!$B$24</f>
        <v>#REF!</v>
      </c>
    </row>
    <row r="11" spans="1:27" x14ac:dyDescent="0.3"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/>
      <c r="U11" s="631"/>
      <c r="V11" s="631"/>
      <c r="W11" s="631"/>
      <c r="X11" s="631"/>
    </row>
    <row r="12" spans="1:27" x14ac:dyDescent="0.3">
      <c r="A12" s="188" t="s">
        <v>183</v>
      </c>
      <c r="B12" s="189" t="s">
        <v>179</v>
      </c>
      <c r="C12" s="184">
        <f>C3</f>
        <v>45328</v>
      </c>
      <c r="D12" s="184">
        <f>DATE(YEAR(C12), MONTH(C12)+1, DAY(C12))</f>
        <v>45357</v>
      </c>
      <c r="E12" s="184">
        <f t="shared" ref="E12:N12" si="13">DATE(YEAR(D12), MONTH(D12)+1, DAY(D12))</f>
        <v>45388</v>
      </c>
      <c r="F12" s="184">
        <f t="shared" si="13"/>
        <v>45418</v>
      </c>
      <c r="G12" s="184">
        <f t="shared" si="13"/>
        <v>45449</v>
      </c>
      <c r="H12" s="184">
        <f t="shared" si="13"/>
        <v>45479</v>
      </c>
      <c r="I12" s="184">
        <f t="shared" si="13"/>
        <v>45510</v>
      </c>
      <c r="J12" s="184">
        <f t="shared" si="13"/>
        <v>45541</v>
      </c>
      <c r="K12" s="184">
        <f t="shared" si="13"/>
        <v>45571</v>
      </c>
      <c r="L12" s="184">
        <f t="shared" si="13"/>
        <v>45602</v>
      </c>
      <c r="M12" s="184">
        <f t="shared" si="13"/>
        <v>45632</v>
      </c>
      <c r="N12" s="184">
        <f t="shared" si="13"/>
        <v>45663</v>
      </c>
      <c r="O12" s="184">
        <f t="shared" ref="O12" si="14">DATE(YEAR(N12), MONTH(N12)+1, DAY(N12))</f>
        <v>45694</v>
      </c>
      <c r="P12" s="184">
        <f t="shared" ref="P12" si="15">DATE(YEAR(O12), MONTH(O12)+1, DAY(O12))</f>
        <v>45722</v>
      </c>
      <c r="Q12" s="184">
        <f t="shared" ref="Q12" si="16">DATE(YEAR(P12), MONTH(P12)+1, DAY(P12))</f>
        <v>45753</v>
      </c>
      <c r="R12" s="184">
        <f t="shared" ref="R12" si="17">DATE(YEAR(Q12), MONTH(Q12)+1, DAY(Q12))</f>
        <v>45783</v>
      </c>
      <c r="S12" s="184">
        <f t="shared" ref="S12" si="18">DATE(YEAR(R12), MONTH(R12)+1, DAY(R12))</f>
        <v>45814</v>
      </c>
      <c r="T12" s="184">
        <f t="shared" ref="T12" si="19">DATE(YEAR(S12), MONTH(S12)+1, DAY(S12))</f>
        <v>45844</v>
      </c>
      <c r="U12" s="184">
        <f t="shared" ref="U12" si="20">DATE(YEAR(T12), MONTH(T12)+1, DAY(T12))</f>
        <v>45875</v>
      </c>
      <c r="V12" s="184">
        <f t="shared" ref="V12" si="21">DATE(YEAR(U12), MONTH(U12)+1, DAY(U12))</f>
        <v>45906</v>
      </c>
      <c r="W12" s="184">
        <f t="shared" ref="W12" si="22">DATE(YEAR(V12), MONTH(V12)+1, DAY(V12))</f>
        <v>45936</v>
      </c>
      <c r="X12" s="184">
        <f t="shared" ref="X12" si="23">DATE(YEAR(W12), MONTH(W12)+1, DAY(W12))</f>
        <v>45967</v>
      </c>
      <c r="Y12" s="184">
        <f t="shared" ref="Y12" si="24">DATE(YEAR(X12), MONTH(X12)+1, DAY(X12))</f>
        <v>45997</v>
      </c>
      <c r="Z12" s="184">
        <f t="shared" ref="Z12" si="25">DATE(YEAR(Y12), MONTH(Y12)+1, DAY(Y12))</f>
        <v>46028</v>
      </c>
      <c r="AA12" s="184">
        <f t="shared" ref="AA12" si="26">DATE(YEAR(Z12), MONTH(Z12)+1, DAY(Z12))</f>
        <v>46059</v>
      </c>
    </row>
    <row r="13" spans="1:27" x14ac:dyDescent="0.3">
      <c r="A13" s="174" t="s">
        <v>184</v>
      </c>
      <c r="B13" s="185">
        <f>HLOOKUP($C$1,$C$12:$AA$16,2,0)</f>
        <v>0.95622435020519836</v>
      </c>
      <c r="C13" s="632">
        <f t="shared" ref="C13:AA13" si="27">(C12-$C3+30)/$C4</f>
        <v>4.1039671682626538E-2</v>
      </c>
      <c r="D13" s="632">
        <f t="shared" si="27"/>
        <v>8.0711354309165526E-2</v>
      </c>
      <c r="E13" s="632">
        <f t="shared" si="27"/>
        <v>0.12311901504787962</v>
      </c>
      <c r="F13" s="632">
        <f t="shared" si="27"/>
        <v>0.16415868673050615</v>
      </c>
      <c r="G13" s="632">
        <f t="shared" si="27"/>
        <v>0.20656634746922026</v>
      </c>
      <c r="H13" s="632">
        <f t="shared" si="27"/>
        <v>0.2476060191518468</v>
      </c>
      <c r="I13" s="632">
        <f t="shared" si="27"/>
        <v>0.29001367989056087</v>
      </c>
      <c r="J13" s="632">
        <f t="shared" si="27"/>
        <v>0.33242134062927498</v>
      </c>
      <c r="K13" s="632">
        <f t="shared" si="27"/>
        <v>0.37346101231190149</v>
      </c>
      <c r="L13" s="632">
        <f t="shared" si="27"/>
        <v>0.41586867305061559</v>
      </c>
      <c r="M13" s="632">
        <f t="shared" si="27"/>
        <v>0.45690834473324216</v>
      </c>
      <c r="N13" s="632">
        <f t="shared" si="27"/>
        <v>0.4993160054719562</v>
      </c>
      <c r="O13" s="632">
        <f t="shared" si="27"/>
        <v>0.54172366621067036</v>
      </c>
      <c r="P13" s="632">
        <f t="shared" si="27"/>
        <v>0.58002735978112174</v>
      </c>
      <c r="Q13" s="632">
        <f t="shared" si="27"/>
        <v>0.62243502051983579</v>
      </c>
      <c r="R13" s="632">
        <f t="shared" si="27"/>
        <v>0.66347469220246236</v>
      </c>
      <c r="S13" s="632">
        <f t="shared" si="27"/>
        <v>0.70588235294117652</v>
      </c>
      <c r="T13" s="632">
        <f t="shared" si="27"/>
        <v>0.74692202462380297</v>
      </c>
      <c r="U13" s="632">
        <f t="shared" si="27"/>
        <v>0.78932968536251713</v>
      </c>
      <c r="V13" s="632">
        <f t="shared" si="27"/>
        <v>0.83173734610123118</v>
      </c>
      <c r="W13" s="632">
        <f t="shared" si="27"/>
        <v>0.87277701778385774</v>
      </c>
      <c r="X13" s="632">
        <f t="shared" si="27"/>
        <v>0.91518467852257179</v>
      </c>
      <c r="Y13" s="186">
        <f t="shared" si="27"/>
        <v>0.95622435020519836</v>
      </c>
      <c r="Z13" s="186">
        <f t="shared" si="27"/>
        <v>0.99863201094391241</v>
      </c>
      <c r="AA13" s="186">
        <f t="shared" si="27"/>
        <v>1.0410396716826265</v>
      </c>
    </row>
    <row r="14" spans="1:27" s="224" customFormat="1" x14ac:dyDescent="0.3">
      <c r="A14" s="573" t="s">
        <v>185</v>
      </c>
      <c r="B14" s="625">
        <f>HLOOKUP($C$1,$C$12:$AA$16,3,0)</f>
        <v>0.99</v>
      </c>
      <c r="C14" s="633">
        <f>1/14</f>
        <v>7.1428571428571425E-2</v>
      </c>
      <c r="D14" s="633">
        <f>2/14</f>
        <v>0.14285714285714285</v>
      </c>
      <c r="E14" s="633">
        <f>3/14</f>
        <v>0.21428571428571427</v>
      </c>
      <c r="F14" s="633">
        <f>4/14</f>
        <v>0.2857142857142857</v>
      </c>
      <c r="G14" s="633">
        <f>5/14</f>
        <v>0.35714285714285715</v>
      </c>
      <c r="H14" s="633">
        <f>6/14</f>
        <v>0.42857142857142855</v>
      </c>
      <c r="I14" s="633">
        <f>7/14</f>
        <v>0.5</v>
      </c>
      <c r="J14" s="633">
        <f>8/14</f>
        <v>0.5714285714285714</v>
      </c>
      <c r="K14" s="633">
        <f>9/14</f>
        <v>0.6428571428571429</v>
      </c>
      <c r="L14" s="633">
        <f>10/14</f>
        <v>0.7142857142857143</v>
      </c>
      <c r="M14" s="633">
        <f>11/14</f>
        <v>0.7857142857142857</v>
      </c>
      <c r="N14" s="633">
        <v>0.81</v>
      </c>
      <c r="O14" s="633">
        <v>0.85</v>
      </c>
      <c r="P14" s="633">
        <v>0.85</v>
      </c>
      <c r="Q14" s="633">
        <v>0.85</v>
      </c>
      <c r="R14" s="633">
        <v>0.85</v>
      </c>
      <c r="S14" s="633">
        <v>0.85</v>
      </c>
      <c r="T14" s="633">
        <v>0.85</v>
      </c>
      <c r="U14" s="633">
        <v>0.95</v>
      </c>
      <c r="V14" s="633">
        <v>0.96</v>
      </c>
      <c r="W14" s="633">
        <v>0.97</v>
      </c>
      <c r="X14" s="633">
        <v>0.98</v>
      </c>
      <c r="Y14" s="626">
        <v>0.99</v>
      </c>
      <c r="Z14" s="626">
        <v>0.99</v>
      </c>
      <c r="AA14" s="626">
        <v>1</v>
      </c>
    </row>
    <row r="15" spans="1:27" x14ac:dyDescent="0.3">
      <c r="A15" s="174" t="s">
        <v>186</v>
      </c>
      <c r="B15" s="185">
        <f>HLOOKUP($C$1,$C$12:$AA$16,4,0)</f>
        <v>0.96296296296296291</v>
      </c>
      <c r="C15" s="633">
        <f>'Livrables projet'!H86</f>
        <v>4.9382716049382713E-2</v>
      </c>
      <c r="D15" s="633">
        <f>'Livrables projet'!I86</f>
        <v>0.14814814814814814</v>
      </c>
      <c r="E15" s="633">
        <f>'Livrables projet'!J86</f>
        <v>0.22222222222222221</v>
      </c>
      <c r="F15" s="633">
        <f>'Livrables projet'!K86</f>
        <v>0.29629629629629628</v>
      </c>
      <c r="G15" s="633">
        <f>'Livrables projet'!L86</f>
        <v>0.37037037037037035</v>
      </c>
      <c r="H15" s="633">
        <f>'Livrables projet'!M86</f>
        <v>0.40740740740740738</v>
      </c>
      <c r="I15" s="633">
        <f>'Livrables projet'!N86</f>
        <v>0.48148148148148145</v>
      </c>
      <c r="J15" s="633">
        <f>'Livrables projet'!O86</f>
        <v>0.59259259259259256</v>
      </c>
      <c r="K15" s="633">
        <f>'Livrables projet'!P86</f>
        <v>0.59259259259259256</v>
      </c>
      <c r="L15" s="633">
        <f>'Livrables projet'!Q86</f>
        <v>0.70370370370370372</v>
      </c>
      <c r="M15" s="633">
        <f>'Livrables projet'!R86</f>
        <v>0.81481481481481477</v>
      </c>
      <c r="N15" s="633">
        <f>'Livrables projet'!S86</f>
        <v>0.88888888888888884</v>
      </c>
      <c r="O15" s="633">
        <f>'Livrables projet'!T86</f>
        <v>0.92592592592592593</v>
      </c>
      <c r="P15" s="633">
        <f>'Livrables projet'!U86</f>
        <v>0.92592592592592593</v>
      </c>
      <c r="Q15" s="633">
        <f>'Livrables projet'!V86</f>
        <v>0.92592592592592593</v>
      </c>
      <c r="R15" s="633">
        <f>'Livrables projet'!W86</f>
        <v>0.92592592592592593</v>
      </c>
      <c r="S15" s="633">
        <f>'Livrables projet'!X86</f>
        <v>0.92592592592592593</v>
      </c>
      <c r="T15" s="633">
        <f>'Livrables projet'!Y86</f>
        <v>0.92592592592592593</v>
      </c>
      <c r="U15" s="633">
        <f>'Livrables projet'!Z86</f>
        <v>0.96296296296296291</v>
      </c>
      <c r="V15" s="633">
        <f>'Livrables projet'!AA86</f>
        <v>0.96296296296296291</v>
      </c>
      <c r="W15" s="633">
        <f>'Livrables projet'!AB86</f>
        <v>0.96296296296296291</v>
      </c>
      <c r="X15" s="633">
        <f>'Livrables projet'!AC86</f>
        <v>0.96296296296296291</v>
      </c>
      <c r="Y15" s="470">
        <f>'Livrables projet'!AD86</f>
        <v>0.96296296296296291</v>
      </c>
      <c r="Z15" s="470">
        <f>'Livrables projet'!AE86</f>
        <v>0.96296296296296291</v>
      </c>
      <c r="AA15" s="470">
        <f>'Livrables projet'!AF86</f>
        <v>0.96296296296296291</v>
      </c>
    </row>
    <row r="16" spans="1:27" x14ac:dyDescent="0.3">
      <c r="A16" s="174" t="s">
        <v>187</v>
      </c>
      <c r="B16" s="185" t="e">
        <f>HLOOKUP($C$1,$C$12:$AA$16,5,0)</f>
        <v>#REF!</v>
      </c>
      <c r="C16" s="634" t="e">
        <f t="shared" ref="C16:H16" si="28">IF((C22/C10)=0,B16,C22/C7)</f>
        <v>#REF!</v>
      </c>
      <c r="D16" s="634" t="e">
        <f t="shared" si="28"/>
        <v>#REF!</v>
      </c>
      <c r="E16" s="634" t="e">
        <f t="shared" si="28"/>
        <v>#REF!</v>
      </c>
      <c r="F16" s="634" t="e">
        <f t="shared" si="28"/>
        <v>#REF!</v>
      </c>
      <c r="G16" s="634" t="e">
        <f t="shared" si="28"/>
        <v>#REF!</v>
      </c>
      <c r="H16" s="634" t="e">
        <f t="shared" si="28"/>
        <v>#REF!</v>
      </c>
      <c r="I16" s="634" t="e">
        <f t="shared" ref="I16:O16" si="29">IF((I22/I10)=0,H16,I22/I7)</f>
        <v>#REF!</v>
      </c>
      <c r="J16" s="634" t="e">
        <f t="shared" si="29"/>
        <v>#REF!</v>
      </c>
      <c r="K16" s="634" t="e">
        <f t="shared" si="29"/>
        <v>#REF!</v>
      </c>
      <c r="L16" s="634" t="e">
        <f t="shared" si="29"/>
        <v>#REF!</v>
      </c>
      <c r="M16" s="634" t="e">
        <f t="shared" si="29"/>
        <v>#REF!</v>
      </c>
      <c r="N16" s="634" t="e">
        <f t="shared" si="29"/>
        <v>#REF!</v>
      </c>
      <c r="O16" s="634" t="e">
        <f t="shared" si="29"/>
        <v>#REF!</v>
      </c>
      <c r="P16" s="634" t="e">
        <f t="shared" ref="P16:V16" si="30">IF((P22/P10)=0,O16,P22/P7)</f>
        <v>#REF!</v>
      </c>
      <c r="Q16" s="634" t="e">
        <f t="shared" si="30"/>
        <v>#REF!</v>
      </c>
      <c r="R16" s="634" t="e">
        <f t="shared" si="30"/>
        <v>#REF!</v>
      </c>
      <c r="S16" s="634" t="e">
        <f t="shared" si="30"/>
        <v>#REF!</v>
      </c>
      <c r="T16" s="634" t="e">
        <f t="shared" si="30"/>
        <v>#REF!</v>
      </c>
      <c r="U16" s="634" t="e">
        <f t="shared" si="30"/>
        <v>#REF!</v>
      </c>
      <c r="V16" s="634" t="e">
        <f t="shared" si="30"/>
        <v>#REF!</v>
      </c>
      <c r="W16" s="634" t="e">
        <f>IF((W22/W7)=0,V16,W22/W7)</f>
        <v>#REF!</v>
      </c>
      <c r="X16" s="634" t="e">
        <f>IF((X22/X7)=0,W16,X22/X7)</f>
        <v>#REF!</v>
      </c>
      <c r="Y16" s="268" t="e">
        <f>IF((Y22/Y7)=0,X16,Y22/Y7)</f>
        <v>#REF!</v>
      </c>
      <c r="Z16" s="268" t="e">
        <f>IF((Z22/Z7)=0,Y16,Z22/Z7)</f>
        <v>#REF!</v>
      </c>
      <c r="AA16" s="268" t="e">
        <f>IF((AA22/AA7)=0,Z16,AA22/AA7)</f>
        <v>#REF!</v>
      </c>
    </row>
    <row r="17" spans="1:27" x14ac:dyDescent="0.3">
      <c r="A17" s="195"/>
      <c r="B17" s="193"/>
      <c r="C17" s="630"/>
      <c r="D17" s="630"/>
      <c r="E17" s="630"/>
      <c r="F17" s="630"/>
      <c r="G17" s="630"/>
      <c r="H17" s="630"/>
      <c r="I17" s="630"/>
      <c r="J17" s="630"/>
      <c r="K17" s="630"/>
      <c r="L17" s="630"/>
      <c r="M17" s="630"/>
      <c r="N17" s="630"/>
      <c r="O17" s="631"/>
      <c r="P17" s="631"/>
      <c r="Q17" s="631"/>
      <c r="R17" s="631"/>
      <c r="S17" s="631"/>
      <c r="T17" s="631"/>
      <c r="U17" s="631"/>
      <c r="V17" s="631"/>
      <c r="W17" s="631"/>
      <c r="X17" s="631"/>
    </row>
    <row r="18" spans="1:27" x14ac:dyDescent="0.3">
      <c r="B18" s="193"/>
      <c r="C18" s="630"/>
      <c r="D18" s="630"/>
      <c r="E18" s="630"/>
      <c r="F18" s="630"/>
      <c r="G18" s="630"/>
      <c r="H18" s="630"/>
      <c r="I18" s="630"/>
      <c r="J18" s="630"/>
      <c r="K18" s="630"/>
      <c r="L18" s="630"/>
      <c r="M18" s="630"/>
      <c r="N18" s="630"/>
      <c r="O18" s="631"/>
      <c r="P18" s="631"/>
      <c r="Q18" s="631"/>
      <c r="R18" s="631"/>
      <c r="S18" s="631"/>
      <c r="T18" s="631"/>
      <c r="U18" s="631"/>
      <c r="V18" s="631"/>
      <c r="W18" s="631"/>
      <c r="X18" s="631"/>
    </row>
    <row r="19" spans="1:27" x14ac:dyDescent="0.3">
      <c r="A19" s="188" t="s">
        <v>188</v>
      </c>
      <c r="B19" s="189" t="s">
        <v>179</v>
      </c>
      <c r="C19" s="184">
        <f>C3</f>
        <v>45328</v>
      </c>
      <c r="D19" s="184">
        <f>DATE(YEAR(C19), MONTH(C19)+1, DAY(C19))</f>
        <v>45357</v>
      </c>
      <c r="E19" s="184">
        <f t="shared" ref="E19:N19" si="31">DATE(YEAR(D19), MONTH(D19)+1, DAY(D19))</f>
        <v>45388</v>
      </c>
      <c r="F19" s="184">
        <f t="shared" si="31"/>
        <v>45418</v>
      </c>
      <c r="G19" s="184">
        <f t="shared" si="31"/>
        <v>45449</v>
      </c>
      <c r="H19" s="184">
        <f t="shared" si="31"/>
        <v>45479</v>
      </c>
      <c r="I19" s="184">
        <f t="shared" si="31"/>
        <v>45510</v>
      </c>
      <c r="J19" s="184">
        <f t="shared" si="31"/>
        <v>45541</v>
      </c>
      <c r="K19" s="184">
        <f t="shared" si="31"/>
        <v>45571</v>
      </c>
      <c r="L19" s="184">
        <f t="shared" si="31"/>
        <v>45602</v>
      </c>
      <c r="M19" s="184">
        <f t="shared" si="31"/>
        <v>45632</v>
      </c>
      <c r="N19" s="184">
        <f t="shared" si="31"/>
        <v>45663</v>
      </c>
      <c r="O19" s="184">
        <f t="shared" ref="O19" si="32">DATE(YEAR(N19), MONTH(N19)+1, DAY(N19))</f>
        <v>45694</v>
      </c>
      <c r="P19" s="184">
        <f t="shared" ref="P19" si="33">DATE(YEAR(O19), MONTH(O19)+1, DAY(O19))</f>
        <v>45722</v>
      </c>
      <c r="Q19" s="184">
        <f t="shared" ref="Q19" si="34">DATE(YEAR(P19), MONTH(P19)+1, DAY(P19))</f>
        <v>45753</v>
      </c>
      <c r="R19" s="184">
        <f t="shared" ref="R19" si="35">DATE(YEAR(Q19), MONTH(Q19)+1, DAY(Q19))</f>
        <v>45783</v>
      </c>
      <c r="S19" s="184">
        <f t="shared" ref="S19" si="36">DATE(YEAR(R19), MONTH(R19)+1, DAY(R19))</f>
        <v>45814</v>
      </c>
      <c r="T19" s="184">
        <f t="shared" ref="T19" si="37">DATE(YEAR(S19), MONTH(S19)+1, DAY(S19))</f>
        <v>45844</v>
      </c>
      <c r="U19" s="184">
        <f t="shared" ref="U19" si="38">DATE(YEAR(T19), MONTH(T19)+1, DAY(T19))</f>
        <v>45875</v>
      </c>
      <c r="V19" s="184">
        <f t="shared" ref="V19" si="39">DATE(YEAR(U19), MONTH(U19)+1, DAY(U19))</f>
        <v>45906</v>
      </c>
      <c r="W19" s="184">
        <f t="shared" ref="W19" si="40">DATE(YEAR(V19), MONTH(V19)+1, DAY(V19))</f>
        <v>45936</v>
      </c>
      <c r="X19" s="184">
        <f t="shared" ref="X19" si="41">DATE(YEAR(W19), MONTH(W19)+1, DAY(W19))</f>
        <v>45967</v>
      </c>
      <c r="Y19" s="184">
        <f t="shared" ref="Y19" si="42">DATE(YEAR(X19), MONTH(X19)+1, DAY(X19))</f>
        <v>45997</v>
      </c>
      <c r="Z19" s="184">
        <f t="shared" ref="Z19" si="43">DATE(YEAR(Y19), MONTH(Y19)+1, DAY(Y19))</f>
        <v>46028</v>
      </c>
      <c r="AA19" s="184">
        <f t="shared" ref="AA19" si="44">DATE(YEAR(Z19), MONTH(Z19)+1, DAY(Z19))</f>
        <v>46059</v>
      </c>
    </row>
    <row r="20" spans="1:27" x14ac:dyDescent="0.3">
      <c r="A20" s="174" t="s">
        <v>189</v>
      </c>
      <c r="B20" s="199" t="e">
        <f>HLOOKUP($C$1,$C$19:$AA$23,2,0)</f>
        <v>#REF!</v>
      </c>
      <c r="C20" s="635" t="e">
        <f t="shared" ref="C20:T20" si="45">IF(C14*C10+C21=0,B20,C14*C10+C21)</f>
        <v>#REF!</v>
      </c>
      <c r="D20" s="635" t="e">
        <f t="shared" si="45"/>
        <v>#REF!</v>
      </c>
      <c r="E20" s="635" t="e">
        <f t="shared" si="45"/>
        <v>#REF!</v>
      </c>
      <c r="F20" s="635" t="e">
        <f t="shared" si="45"/>
        <v>#REF!</v>
      </c>
      <c r="G20" s="635" t="e">
        <f t="shared" si="45"/>
        <v>#REF!</v>
      </c>
      <c r="H20" s="635" t="e">
        <f t="shared" si="45"/>
        <v>#REF!</v>
      </c>
      <c r="I20" s="635" t="e">
        <f t="shared" si="45"/>
        <v>#REF!</v>
      </c>
      <c r="J20" s="635" t="e">
        <f t="shared" si="45"/>
        <v>#REF!</v>
      </c>
      <c r="K20" s="635" t="e">
        <f t="shared" si="45"/>
        <v>#REF!</v>
      </c>
      <c r="L20" s="635" t="e">
        <f t="shared" si="45"/>
        <v>#REF!</v>
      </c>
      <c r="M20" s="635" t="e">
        <f t="shared" si="45"/>
        <v>#REF!</v>
      </c>
      <c r="N20" s="635" t="e">
        <f t="shared" si="45"/>
        <v>#REF!</v>
      </c>
      <c r="O20" s="635" t="e">
        <f t="shared" si="45"/>
        <v>#REF!</v>
      </c>
      <c r="P20" s="635" t="e">
        <f t="shared" si="45"/>
        <v>#REF!</v>
      </c>
      <c r="Q20" s="635" t="e">
        <f t="shared" si="45"/>
        <v>#REF!</v>
      </c>
      <c r="R20" s="635" t="e">
        <f t="shared" si="45"/>
        <v>#REF!</v>
      </c>
      <c r="S20" s="635" t="e">
        <f t="shared" si="45"/>
        <v>#REF!</v>
      </c>
      <c r="T20" s="635" t="e">
        <f t="shared" si="45"/>
        <v>#REF!</v>
      </c>
      <c r="U20" s="635" t="e">
        <f t="shared" ref="U20:Z20" si="46">IF(U14*U10+U21=0,T20,U14*U10+U21)</f>
        <v>#REF!</v>
      </c>
      <c r="V20" s="635" t="e">
        <f t="shared" si="46"/>
        <v>#REF!</v>
      </c>
      <c r="W20" s="635" t="e">
        <f t="shared" si="46"/>
        <v>#REF!</v>
      </c>
      <c r="X20" s="635" t="e">
        <f t="shared" si="46"/>
        <v>#REF!</v>
      </c>
      <c r="Y20" s="269" t="e">
        <f t="shared" si="46"/>
        <v>#REF!</v>
      </c>
      <c r="Z20" s="269" t="e">
        <f t="shared" si="46"/>
        <v>#REF!</v>
      </c>
      <c r="AA20" s="269">
        <f>IF(AA14*AA7+AA21=0,Z20,AA14*AA7+AA21)</f>
        <v>1269861.4643999999</v>
      </c>
    </row>
    <row r="21" spans="1:27" s="495" customFormat="1" x14ac:dyDescent="0.3">
      <c r="A21" s="114" t="s">
        <v>190</v>
      </c>
      <c r="B21" s="199">
        <f>HLOOKUP($C$1,$C$19:$AA$23,3,0)</f>
        <v>0</v>
      </c>
      <c r="C21" s="636">
        <v>0</v>
      </c>
      <c r="D21" s="636">
        <v>0</v>
      </c>
      <c r="E21" s="636">
        <v>0</v>
      </c>
      <c r="F21" s="636">
        <v>0</v>
      </c>
      <c r="G21" s="636">
        <v>0</v>
      </c>
      <c r="H21" s="636">
        <v>0</v>
      </c>
      <c r="I21" s="636">
        <v>0</v>
      </c>
      <c r="J21" s="636">
        <v>0</v>
      </c>
      <c r="K21" s="636">
        <v>0</v>
      </c>
      <c r="L21" s="636">
        <v>0</v>
      </c>
      <c r="M21" s="636">
        <v>0</v>
      </c>
      <c r="N21" s="637" t="e">
        <f>15*#REF!*#REF!</f>
        <v>#REF!</v>
      </c>
      <c r="O21" s="636">
        <v>0</v>
      </c>
      <c r="P21" s="636">
        <v>0</v>
      </c>
      <c r="Q21" s="636">
        <v>0</v>
      </c>
      <c r="R21" s="638">
        <v>0</v>
      </c>
      <c r="S21" s="638">
        <v>0</v>
      </c>
      <c r="T21" s="638">
        <v>0</v>
      </c>
      <c r="U21" s="638">
        <v>0</v>
      </c>
      <c r="V21" s="638">
        <v>0</v>
      </c>
      <c r="W21" s="638">
        <v>0</v>
      </c>
      <c r="X21" s="638"/>
    </row>
    <row r="22" spans="1:27" x14ac:dyDescent="0.3">
      <c r="A22" s="174" t="s">
        <v>191</v>
      </c>
      <c r="B22" s="199" t="e">
        <f>HLOOKUP($C$1,$C$19:$AA$23,4,0)</f>
        <v>#REF!</v>
      </c>
      <c r="C22" s="639">
        <v>0</v>
      </c>
      <c r="D22" s="639" t="e">
        <f>'Recap Facturation'!J7</f>
        <v>#REF!</v>
      </c>
      <c r="E22" s="635" t="e">
        <f>'Recap Facturation'!J7</f>
        <v>#REF!</v>
      </c>
      <c r="F22" s="639" t="e">
        <f>'Recap Facturation'!J7</f>
        <v>#REF!</v>
      </c>
      <c r="G22" s="639" t="e">
        <f>'Recap Facturation'!J8</f>
        <v>#REF!</v>
      </c>
      <c r="H22" s="639" t="e">
        <f>'Recap Facturation'!J8</f>
        <v>#REF!</v>
      </c>
      <c r="I22" s="639" t="e">
        <f>'Recap Facturation'!J8</f>
        <v>#REF!</v>
      </c>
      <c r="J22" s="639" t="e">
        <f>'Recap Facturation'!J9</f>
        <v>#REF!</v>
      </c>
      <c r="K22" s="639" t="e">
        <f>'Recap Facturation'!J10</f>
        <v>#REF!</v>
      </c>
      <c r="L22" s="639" t="e">
        <f>'Recap Facturation'!J10</f>
        <v>#REF!</v>
      </c>
      <c r="M22" s="639" t="e">
        <f>'Recap Facturation'!J11</f>
        <v>#REF!</v>
      </c>
      <c r="N22" s="639" t="e">
        <f>'Recap Facturation'!J11</f>
        <v>#REF!</v>
      </c>
      <c r="O22" s="639" t="e">
        <f>'Recap Facturation'!J11</f>
        <v>#REF!</v>
      </c>
      <c r="P22" s="639" t="e">
        <f>'Recap Facturation'!J12</f>
        <v>#REF!</v>
      </c>
      <c r="Q22" s="639" t="e">
        <f>'Recap Facturation'!J12</f>
        <v>#REF!</v>
      </c>
      <c r="R22" s="639" t="e">
        <f>Q22</f>
        <v>#REF!</v>
      </c>
      <c r="S22" s="639" t="e">
        <f t="shared" ref="S22" si="47">R22</f>
        <v>#REF!</v>
      </c>
      <c r="T22" s="639" t="e">
        <f>S22</f>
        <v>#REF!</v>
      </c>
      <c r="U22" s="639" t="e">
        <f>'Recap Facturation'!J13</f>
        <v>#REF!</v>
      </c>
      <c r="V22" s="639" t="e">
        <f>'Recap Facturation'!J13</f>
        <v>#REF!</v>
      </c>
      <c r="W22" s="639" t="e">
        <f>V22</f>
        <v>#REF!</v>
      </c>
      <c r="X22" s="639" t="e">
        <f t="shared" ref="X22:AA22" si="48">W22</f>
        <v>#REF!</v>
      </c>
      <c r="Y22" s="270" t="e">
        <f t="shared" si="48"/>
        <v>#REF!</v>
      </c>
      <c r="Z22" s="270" t="e">
        <f t="shared" si="48"/>
        <v>#REF!</v>
      </c>
      <c r="AA22" s="270" t="e">
        <f t="shared" si="48"/>
        <v>#REF!</v>
      </c>
    </row>
    <row r="23" spans="1:27" x14ac:dyDescent="0.3">
      <c r="A23" s="174" t="s">
        <v>146</v>
      </c>
      <c r="B23" s="199" t="e">
        <f>HLOOKUP($C$1,$C$19:$AA$23,5,0)</f>
        <v>#REF!</v>
      </c>
      <c r="C23" s="640" t="e">
        <f>C20-C22</f>
        <v>#REF!</v>
      </c>
      <c r="D23" s="640" t="e">
        <f t="shared" ref="D23:K23" si="49">D20-D22</f>
        <v>#REF!</v>
      </c>
      <c r="E23" s="640" t="e">
        <f t="shared" si="49"/>
        <v>#REF!</v>
      </c>
      <c r="F23" s="640" t="e">
        <f t="shared" si="49"/>
        <v>#REF!</v>
      </c>
      <c r="G23" s="640" t="e">
        <f t="shared" si="49"/>
        <v>#REF!</v>
      </c>
      <c r="H23" s="640" t="e">
        <f t="shared" si="49"/>
        <v>#REF!</v>
      </c>
      <c r="I23" s="640" t="e">
        <f t="shared" si="49"/>
        <v>#REF!</v>
      </c>
      <c r="J23" s="640" t="e">
        <f t="shared" si="49"/>
        <v>#REF!</v>
      </c>
      <c r="K23" s="640" t="e">
        <f t="shared" si="49"/>
        <v>#REF!</v>
      </c>
      <c r="L23" s="640" t="e">
        <f>L20-L22</f>
        <v>#REF!</v>
      </c>
      <c r="M23" s="640" t="e">
        <f>M20-M22</f>
        <v>#REF!</v>
      </c>
      <c r="N23" s="640" t="e">
        <f t="shared" ref="N23:P23" si="50">N20-N22</f>
        <v>#REF!</v>
      </c>
      <c r="O23" s="640" t="e">
        <f t="shared" si="50"/>
        <v>#REF!</v>
      </c>
      <c r="P23" s="640" t="e">
        <f t="shared" si="50"/>
        <v>#REF!</v>
      </c>
      <c r="Q23" s="640" t="e">
        <f t="shared" ref="Q23:AA23" si="51">Q20-Q22</f>
        <v>#REF!</v>
      </c>
      <c r="R23" s="640" t="e">
        <f t="shared" si="51"/>
        <v>#REF!</v>
      </c>
      <c r="S23" s="640" t="e">
        <f t="shared" si="51"/>
        <v>#REF!</v>
      </c>
      <c r="T23" s="640" t="e">
        <f t="shared" si="51"/>
        <v>#REF!</v>
      </c>
      <c r="U23" s="640" t="e">
        <f t="shared" si="51"/>
        <v>#REF!</v>
      </c>
      <c r="V23" s="640" t="e">
        <f t="shared" si="51"/>
        <v>#REF!</v>
      </c>
      <c r="W23" s="640" t="e">
        <f t="shared" si="51"/>
        <v>#REF!</v>
      </c>
      <c r="X23" s="640" t="e">
        <f t="shared" si="51"/>
        <v>#REF!</v>
      </c>
      <c r="Y23" s="271" t="e">
        <f t="shared" si="51"/>
        <v>#REF!</v>
      </c>
      <c r="Z23" s="271" t="e">
        <f t="shared" si="51"/>
        <v>#REF!</v>
      </c>
      <c r="AA23" s="271" t="e">
        <f t="shared" si="51"/>
        <v>#REF!</v>
      </c>
    </row>
    <row r="24" spans="1:27" x14ac:dyDescent="0.3">
      <c r="B24" s="200"/>
      <c r="C24" s="630"/>
      <c r="D24" s="641"/>
      <c r="E24" s="641"/>
      <c r="F24" s="641"/>
      <c r="G24" s="641"/>
      <c r="H24" s="641"/>
      <c r="I24" s="641"/>
      <c r="J24" s="641"/>
      <c r="K24" s="641"/>
      <c r="L24" s="641"/>
      <c r="M24" s="641"/>
      <c r="N24" s="641"/>
      <c r="O24" s="631"/>
      <c r="P24" s="631"/>
      <c r="Q24" s="631"/>
      <c r="R24" s="631"/>
      <c r="S24" s="631"/>
      <c r="T24" s="631"/>
      <c r="U24" s="631"/>
      <c r="V24" s="631"/>
      <c r="W24" s="631"/>
      <c r="X24" s="631"/>
    </row>
    <row r="25" spans="1:27" x14ac:dyDescent="0.3">
      <c r="B25" s="200"/>
      <c r="C25" s="630"/>
      <c r="D25" s="641"/>
      <c r="E25" s="641"/>
      <c r="F25" s="641"/>
      <c r="G25" s="641"/>
      <c r="H25" s="641"/>
      <c r="I25" s="641"/>
      <c r="J25" s="641"/>
      <c r="K25" s="641"/>
      <c r="L25" s="641"/>
      <c r="M25" s="641"/>
      <c r="N25" s="641"/>
      <c r="O25" s="631"/>
      <c r="P25" s="631"/>
      <c r="Q25" s="631"/>
      <c r="R25" s="631"/>
      <c r="S25" s="631"/>
      <c r="T25" s="631"/>
      <c r="U25" s="631"/>
      <c r="V25" s="631"/>
      <c r="W25" s="631"/>
      <c r="X25" s="631"/>
    </row>
    <row r="26" spans="1:27" x14ac:dyDescent="0.3">
      <c r="A26" s="188" t="s">
        <v>192</v>
      </c>
      <c r="B26" s="189" t="s">
        <v>179</v>
      </c>
      <c r="C26" s="184">
        <f>C3</f>
        <v>45328</v>
      </c>
      <c r="D26" s="184">
        <f>DATE(YEAR(C26), MONTH(C26)+1, DAY(C26))</f>
        <v>45357</v>
      </c>
      <c r="E26" s="184">
        <f t="shared" ref="E26:N26" si="52">DATE(YEAR(D26), MONTH(D26)+1, DAY(D26))</f>
        <v>45388</v>
      </c>
      <c r="F26" s="184">
        <f t="shared" si="52"/>
        <v>45418</v>
      </c>
      <c r="G26" s="184">
        <f t="shared" si="52"/>
        <v>45449</v>
      </c>
      <c r="H26" s="184">
        <f t="shared" si="52"/>
        <v>45479</v>
      </c>
      <c r="I26" s="184">
        <f t="shared" si="52"/>
        <v>45510</v>
      </c>
      <c r="J26" s="184">
        <f t="shared" si="52"/>
        <v>45541</v>
      </c>
      <c r="K26" s="184">
        <f t="shared" si="52"/>
        <v>45571</v>
      </c>
      <c r="L26" s="184">
        <f t="shared" si="52"/>
        <v>45602</v>
      </c>
      <c r="M26" s="184">
        <f t="shared" si="52"/>
        <v>45632</v>
      </c>
      <c r="N26" s="184">
        <f t="shared" si="52"/>
        <v>45663</v>
      </c>
      <c r="O26" s="184">
        <f t="shared" ref="O26" si="53">DATE(YEAR(N26), MONTH(N26)+1, DAY(N26))</f>
        <v>45694</v>
      </c>
      <c r="P26" s="184">
        <f t="shared" ref="P26" si="54">DATE(YEAR(O26), MONTH(O26)+1, DAY(O26))</f>
        <v>45722</v>
      </c>
      <c r="Q26" s="184">
        <f t="shared" ref="Q26" si="55">DATE(YEAR(P26), MONTH(P26)+1, DAY(P26))</f>
        <v>45753</v>
      </c>
      <c r="R26" s="184">
        <f t="shared" ref="R26" si="56">DATE(YEAR(Q26), MONTH(Q26)+1, DAY(Q26))</f>
        <v>45783</v>
      </c>
      <c r="S26" s="184">
        <f t="shared" ref="S26" si="57">DATE(YEAR(R26), MONTH(R26)+1, DAY(R26))</f>
        <v>45814</v>
      </c>
      <c r="T26" s="184">
        <f t="shared" ref="T26" si="58">DATE(YEAR(S26), MONTH(S26)+1, DAY(S26))</f>
        <v>45844</v>
      </c>
      <c r="U26" s="184">
        <f t="shared" ref="U26" si="59">DATE(YEAR(T26), MONTH(T26)+1, DAY(T26))</f>
        <v>45875</v>
      </c>
      <c r="V26" s="184">
        <f t="shared" ref="V26" si="60">DATE(YEAR(U26), MONTH(U26)+1, DAY(U26))</f>
        <v>45906</v>
      </c>
      <c r="W26" s="184">
        <f t="shared" ref="W26" si="61">DATE(YEAR(V26), MONTH(V26)+1, DAY(V26))</f>
        <v>45936</v>
      </c>
      <c r="X26" s="184">
        <f t="shared" ref="X26" si="62">DATE(YEAR(W26), MONTH(W26)+1, DAY(W26))</f>
        <v>45967</v>
      </c>
      <c r="Y26" s="184">
        <f t="shared" ref="Y26" si="63">DATE(YEAR(X26), MONTH(X26)+1, DAY(X26))</f>
        <v>45997</v>
      </c>
      <c r="Z26" s="184">
        <f t="shared" ref="Z26" si="64">DATE(YEAR(Y26), MONTH(Y26)+1, DAY(Y26))</f>
        <v>46028</v>
      </c>
      <c r="AA26" s="184">
        <f t="shared" ref="AA26" si="65">DATE(YEAR(Z26), MONTH(Z26)+1, DAY(Z26))</f>
        <v>46059</v>
      </c>
    </row>
    <row r="27" spans="1:27" s="495" customFormat="1" x14ac:dyDescent="0.3">
      <c r="A27" s="114" t="s">
        <v>141</v>
      </c>
      <c r="B27" s="496" t="e">
        <f>HLOOKUP($C$1,$C$26:$AA$32,2,0)</f>
        <v>#REF!</v>
      </c>
      <c r="C27" s="642" t="e">
        <f>#REF!</f>
        <v>#REF!</v>
      </c>
      <c r="D27" s="642" t="e">
        <f>#REF!</f>
        <v>#REF!</v>
      </c>
      <c r="E27" s="642" t="e">
        <f>#REF!</f>
        <v>#REF!</v>
      </c>
      <c r="F27" s="642" t="e">
        <f>#REF!</f>
        <v>#REF!</v>
      </c>
      <c r="G27" s="642" t="e">
        <f>#REF!</f>
        <v>#REF!</v>
      </c>
      <c r="H27" s="642" t="e">
        <f>#REF!</f>
        <v>#REF!</v>
      </c>
      <c r="I27" s="642" t="e">
        <f>#REF!</f>
        <v>#REF!</v>
      </c>
      <c r="J27" s="642" t="e">
        <f>#REF!</f>
        <v>#REF!</v>
      </c>
      <c r="K27" s="642" t="e">
        <f>#REF!</f>
        <v>#REF!</v>
      </c>
      <c r="L27" s="642" t="e">
        <f>#REF!</f>
        <v>#REF!</v>
      </c>
      <c r="M27" s="642" t="e">
        <f>#REF!</f>
        <v>#REF!</v>
      </c>
      <c r="N27" s="642" t="e">
        <f>#REF!</f>
        <v>#REF!</v>
      </c>
      <c r="O27" s="642" t="e">
        <f>#REF!</f>
        <v>#REF!</v>
      </c>
      <c r="P27" s="642" t="e">
        <f>#REF!</f>
        <v>#REF!</v>
      </c>
      <c r="Q27" s="642" t="e">
        <f>#REF!</f>
        <v>#REF!</v>
      </c>
      <c r="R27" s="642" t="e">
        <f>#REF!</f>
        <v>#REF!</v>
      </c>
      <c r="S27" s="642" t="e">
        <f>#REF!</f>
        <v>#REF!</v>
      </c>
      <c r="T27" s="642" t="e">
        <f>#REF!</f>
        <v>#REF!</v>
      </c>
      <c r="U27" s="642" t="e">
        <f>#REF!</f>
        <v>#REF!</v>
      </c>
      <c r="V27" s="642" t="e">
        <f>#REF!</f>
        <v>#REF!</v>
      </c>
      <c r="W27" s="642" t="e">
        <f>#REF!</f>
        <v>#REF!</v>
      </c>
      <c r="X27" s="642" t="e">
        <f>#REF!</f>
        <v>#REF!</v>
      </c>
      <c r="Y27" s="497" t="e">
        <f>#REF!</f>
        <v>#REF!</v>
      </c>
      <c r="Z27" s="497" t="e">
        <f>#REF!</f>
        <v>#REF!</v>
      </c>
      <c r="AA27" s="497" t="e">
        <f>#REF!</f>
        <v>#REF!</v>
      </c>
    </row>
    <row r="28" spans="1:27" x14ac:dyDescent="0.3">
      <c r="A28" s="174" t="s">
        <v>193</v>
      </c>
      <c r="B28" s="199">
        <f>HLOOKUP($C$1,$C$26:$AA$32,3,0)</f>
        <v>7698.5353948462489</v>
      </c>
      <c r="C28" s="639">
        <f>'Coût réel Actualisé'!B50</f>
        <v>35043.516033875145</v>
      </c>
      <c r="D28" s="639">
        <f>'Coût réel Actualisé'!C50</f>
        <v>35658.786592269091</v>
      </c>
      <c r="E28" s="639">
        <f>'Coût réel Actualisé'!D50</f>
        <v>44244.486520349092</v>
      </c>
      <c r="F28" s="639">
        <f>'Coût réel Actualisé'!E50</f>
        <v>42259.719374087275</v>
      </c>
      <c r="G28" s="639">
        <f>'Coût réel Actualisé'!F50</f>
        <v>47470.95890421333</v>
      </c>
      <c r="H28" s="639">
        <f>'Coût réel Actualisé'!G50</f>
        <v>75676.235388817862</v>
      </c>
      <c r="I28" s="639">
        <f>'Coût réel Actualisé'!H50</f>
        <v>58638.742458764769</v>
      </c>
      <c r="J28" s="639">
        <f>'Coût réel Actualisé'!I50</f>
        <v>69578.676406882209</v>
      </c>
      <c r="K28" s="639">
        <f>'Coût réel Actualisé'!J50</f>
        <v>64667.856690119937</v>
      </c>
      <c r="L28" s="639">
        <f>'Coût réel Actualisé'!K50</f>
        <v>61015.877627678834</v>
      </c>
      <c r="M28" s="639">
        <f>'Coût réel Actualisé'!L50</f>
        <v>62006.313454315001</v>
      </c>
      <c r="N28" s="639">
        <f>'Coût réel Actualisé'!M50</f>
        <v>27072.335999999999</v>
      </c>
      <c r="O28" s="639">
        <f>'Coût réel Actualisé'!N50</f>
        <v>7552.5333333333338</v>
      </c>
      <c r="P28" s="639">
        <f>'Coût réel Actualisé'!O50</f>
        <v>2273.4666666666662</v>
      </c>
      <c r="Q28" s="639">
        <f>'Coût réel Actualisé'!P50</f>
        <v>6454.1108340172705</v>
      </c>
      <c r="R28" s="639">
        <f>'Coût réel Actualisé'!Q50</f>
        <v>709.17114420300004</v>
      </c>
      <c r="S28" s="639">
        <f>'Coût réel Actualisé'!R50</f>
        <v>2217.7120039802917</v>
      </c>
      <c r="T28" s="639">
        <f>'Coût réel Actualisé'!S50</f>
        <v>1225.7826382902292</v>
      </c>
      <c r="U28" s="639">
        <f>'Coût réel Actualisé'!T50</f>
        <v>5213.4946883183748</v>
      </c>
      <c r="V28" s="639">
        <f>'Coût réel Actualisé'!U50</f>
        <v>3644.8120171363744</v>
      </c>
      <c r="W28" s="639">
        <f>'Coût réel Actualisé'!V50</f>
        <v>6197.5129215729376</v>
      </c>
      <c r="X28" s="639">
        <f>'Coût réel Actualisé'!W50</f>
        <v>987.24488012179177</v>
      </c>
      <c r="Y28" s="270">
        <f>'Coût réel Actualisé'!X50</f>
        <v>7698.5353948462489</v>
      </c>
      <c r="Z28" s="270">
        <f>'Coût réel Actualisé'!Y50</f>
        <v>0</v>
      </c>
      <c r="AA28" s="270">
        <f>'Coût réel Actualisé'!Z50</f>
        <v>0</v>
      </c>
    </row>
    <row r="29" spans="1:27" s="495" customFormat="1" x14ac:dyDescent="0.3">
      <c r="A29" s="114" t="s">
        <v>194</v>
      </c>
      <c r="B29" s="199">
        <f>HLOOKUP($C$1,$C$26:$AA$32,4,0)</f>
        <v>0</v>
      </c>
      <c r="C29" s="636">
        <f>'Coût réel Actualisé'!B47+'Coût réel Actualisé'!B48+'Coût réel Actualisé'!B49</f>
        <v>0</v>
      </c>
      <c r="D29" s="636">
        <f>'Coût réel Actualisé'!C47+'Coût réel Actualisé'!C48+'Coût réel Actualisé'!C49</f>
        <v>0</v>
      </c>
      <c r="E29" s="636">
        <f>'Coût réel Actualisé'!D47+'Coût réel Actualisé'!D48+'Coût réel Actualisé'!D49</f>
        <v>0</v>
      </c>
      <c r="F29" s="636">
        <f>'Coût réel Actualisé'!E47+'Coût réel Actualisé'!E48+'Coût réel Actualisé'!E49</f>
        <v>0</v>
      </c>
      <c r="G29" s="636">
        <f>'Coût réel Actualisé'!F47+'Coût réel Actualisé'!F48+'Coût réel Actualisé'!F49</f>
        <v>0</v>
      </c>
      <c r="H29" s="636">
        <f>'Coût réel Actualisé'!G47+'Coût réel Actualisé'!G48+'Coût réel Actualisé'!G49</f>
        <v>0</v>
      </c>
      <c r="I29" s="636">
        <f>'Coût réel Actualisé'!H47+'Coût réel Actualisé'!H48+'Coût réel Actualisé'!H49</f>
        <v>0</v>
      </c>
      <c r="J29" s="636">
        <f>'Coût réel Actualisé'!I47+'Coût réel Actualisé'!I48+'Coût réel Actualisé'!I49</f>
        <v>0</v>
      </c>
      <c r="K29" s="636">
        <f>'Coût réel Actualisé'!J47+'Coût réel Actualisé'!J48+'Coût réel Actualisé'!J49</f>
        <v>0</v>
      </c>
      <c r="L29" s="636">
        <f>'Coût réel Actualisé'!K47+'Coût réel Actualisé'!K48+'Coût réel Actualisé'!K49</f>
        <v>0</v>
      </c>
      <c r="M29" s="636">
        <f>'Coût réel Actualisé'!L47+'Coût réel Actualisé'!L48+'Coût réel Actualisé'!L49</f>
        <v>0</v>
      </c>
      <c r="N29" s="637">
        <f>'Coût réel Actualisé'!M47</f>
        <v>11408.536</v>
      </c>
      <c r="O29" s="636">
        <f>'Coût réel Actualisé'!N47</f>
        <v>0</v>
      </c>
      <c r="P29" s="636">
        <f>'Coût réel Actualisé'!O47</f>
        <v>0</v>
      </c>
      <c r="Q29" s="636">
        <f>'Coût réel Actualisé'!P47</f>
        <v>0</v>
      </c>
      <c r="R29" s="636">
        <f>'Coût réel Actualisé'!Q47</f>
        <v>0</v>
      </c>
      <c r="S29" s="636">
        <f>'Coût réel Actualisé'!R47</f>
        <v>0</v>
      </c>
      <c r="T29" s="636">
        <f>'Coût réel Actualisé'!S47</f>
        <v>0</v>
      </c>
      <c r="U29" s="636">
        <f>'Coût réel Actualisé'!T47</f>
        <v>0</v>
      </c>
      <c r="V29" s="636">
        <f>'Coût réel Actualisé'!U47</f>
        <v>0</v>
      </c>
      <c r="W29" s="636">
        <f>'Coût réel Actualisé'!V47</f>
        <v>0</v>
      </c>
      <c r="X29" s="636">
        <f>'Coût réel Actualisé'!W47</f>
        <v>0</v>
      </c>
      <c r="Y29" s="523">
        <f>'Coût réel Actualisé'!X47</f>
        <v>0</v>
      </c>
      <c r="Z29" s="523">
        <f>'Coût réel Actualisé'!Y47</f>
        <v>0</v>
      </c>
      <c r="AA29" s="523">
        <f>'Coût réel Actualisé'!Z47</f>
        <v>0</v>
      </c>
    </row>
    <row r="30" spans="1:27" x14ac:dyDescent="0.3">
      <c r="A30" s="174" t="s">
        <v>195</v>
      </c>
      <c r="B30" s="199">
        <f>HLOOKUP($C$1,$C$26:$AA$32,5,0)</f>
        <v>667507.88197385892</v>
      </c>
      <c r="C30" s="639">
        <f>C28</f>
        <v>35043.516033875145</v>
      </c>
      <c r="D30" s="639">
        <f>D28+C30</f>
        <v>70702.302626144228</v>
      </c>
      <c r="E30" s="639">
        <f>E28+D30</f>
        <v>114946.78914649332</v>
      </c>
      <c r="F30" s="639">
        <f t="shared" ref="F30:N30" si="66">F28+E30</f>
        <v>157206.5085205806</v>
      </c>
      <c r="G30" s="639">
        <f t="shared" si="66"/>
        <v>204677.46742479393</v>
      </c>
      <c r="H30" s="639">
        <f t="shared" si="66"/>
        <v>280353.70281361177</v>
      </c>
      <c r="I30" s="639">
        <f>I28+H30</f>
        <v>338992.44527237653</v>
      </c>
      <c r="J30" s="639">
        <f t="shared" si="66"/>
        <v>408571.12167925877</v>
      </c>
      <c r="K30" s="639">
        <f t="shared" si="66"/>
        <v>473238.97836937872</v>
      </c>
      <c r="L30" s="639">
        <f>L28+K30</f>
        <v>534254.85599705752</v>
      </c>
      <c r="M30" s="639">
        <f>M28+L30</f>
        <v>596261.16945137247</v>
      </c>
      <c r="N30" s="639">
        <f t="shared" si="66"/>
        <v>623333.50545137248</v>
      </c>
      <c r="O30" s="639">
        <f t="shared" ref="O30" si="67">O28+N30</f>
        <v>630886.0387847058</v>
      </c>
      <c r="P30" s="639">
        <f t="shared" ref="P30" si="68">P28+O30</f>
        <v>633159.50545137248</v>
      </c>
      <c r="Q30" s="639">
        <f t="shared" ref="Q30" si="69">Q28+P30</f>
        <v>639613.61628538975</v>
      </c>
      <c r="R30" s="639">
        <f t="shared" ref="R30" si="70">R28+Q30</f>
        <v>640322.7874295928</v>
      </c>
      <c r="S30" s="639">
        <f t="shared" ref="S30" si="71">S28+R30</f>
        <v>642540.4994335731</v>
      </c>
      <c r="T30" s="639">
        <f t="shared" ref="T30" si="72">T28+S30</f>
        <v>643766.2820718633</v>
      </c>
      <c r="U30" s="639">
        <f t="shared" ref="U30" si="73">U28+T30</f>
        <v>648979.77676018164</v>
      </c>
      <c r="V30" s="639">
        <f t="shared" ref="V30" si="74">V28+U30</f>
        <v>652624.58877731801</v>
      </c>
      <c r="W30" s="639">
        <f t="shared" ref="W30" si="75">W28+V30</f>
        <v>658822.10169889091</v>
      </c>
      <c r="X30" s="639">
        <f t="shared" ref="X30" si="76">X28+W30</f>
        <v>659809.34657901269</v>
      </c>
      <c r="Y30" s="270">
        <f t="shared" ref="Y30" si="77">Y28+X30</f>
        <v>667507.88197385892</v>
      </c>
      <c r="Z30" s="270">
        <f t="shared" ref="Z30" si="78">Z28+Y30</f>
        <v>667507.88197385892</v>
      </c>
      <c r="AA30" s="270">
        <f t="shared" ref="AA30" si="79">AA28+Z30</f>
        <v>667507.88197385892</v>
      </c>
    </row>
    <row r="31" spans="1:27" x14ac:dyDescent="0.3">
      <c r="A31" s="174" t="s">
        <v>196</v>
      </c>
      <c r="B31" s="199" t="e">
        <f>HLOOKUP($C$1,$C$26:$AA$32,6,0)</f>
        <v>#REF!</v>
      </c>
      <c r="C31" s="639" t="e">
        <f>'Coût Prévisionnel'!B43</f>
        <v>#REF!</v>
      </c>
      <c r="D31" s="639" t="e">
        <f>'Coût Prévisionnel'!C43</f>
        <v>#REF!</v>
      </c>
      <c r="E31" s="639" t="e">
        <f>'Coût Prévisionnel'!D43</f>
        <v>#REF!</v>
      </c>
      <c r="F31" s="639" t="e">
        <f>'Coût Prévisionnel'!E43</f>
        <v>#REF!</v>
      </c>
      <c r="G31" s="639" t="e">
        <f>'Coût Prévisionnel'!F43</f>
        <v>#REF!</v>
      </c>
      <c r="H31" s="639" t="e">
        <f>'Coût Prévisionnel'!G43</f>
        <v>#REF!</v>
      </c>
      <c r="I31" s="639" t="e">
        <f>'Coût Prévisionnel'!H43</f>
        <v>#REF!</v>
      </c>
      <c r="J31" s="639" t="e">
        <f>'Coût Prévisionnel'!I43</f>
        <v>#REF!</v>
      </c>
      <c r="K31" s="639" t="e">
        <f>'Coût Prévisionnel'!J43</f>
        <v>#REF!</v>
      </c>
      <c r="L31" s="639" t="e">
        <f>'Coût Prévisionnel'!K43</f>
        <v>#REF!</v>
      </c>
      <c r="M31" s="639" t="e">
        <f>'Coût Prévisionnel'!L43</f>
        <v>#REF!</v>
      </c>
      <c r="N31" s="639" t="e">
        <f>'Coût Prévisionnel'!M43</f>
        <v>#REF!</v>
      </c>
      <c r="O31" s="639" t="e">
        <f>'Coût Prévisionnel'!N43</f>
        <v>#REF!</v>
      </c>
      <c r="P31" s="639" t="e">
        <f>'Coût Prévisionnel'!O43</f>
        <v>#REF!</v>
      </c>
      <c r="Q31" s="639" t="e">
        <f>'Coût Prévisionnel'!P43</f>
        <v>#REF!</v>
      </c>
      <c r="R31" s="639" t="e">
        <f>'Coût Prévisionnel'!Q43</f>
        <v>#REF!</v>
      </c>
      <c r="S31" s="639" t="e">
        <f>'Coût Prévisionnel'!R43</f>
        <v>#REF!</v>
      </c>
      <c r="T31" s="639" t="e">
        <f>'Coût Prévisionnel'!S43</f>
        <v>#REF!</v>
      </c>
      <c r="U31" s="639" t="e">
        <f>'Coût Prévisionnel'!T43</f>
        <v>#REF!</v>
      </c>
      <c r="V31" s="639" t="e">
        <f>'Coût Prévisionnel'!U43</f>
        <v>#REF!</v>
      </c>
      <c r="W31" s="639" t="e">
        <f>'Coût Prévisionnel'!V43</f>
        <v>#REF!</v>
      </c>
      <c r="X31" s="639" t="e">
        <f>'Coût Prévisionnel'!W43</f>
        <v>#REF!</v>
      </c>
      <c r="Y31" s="270" t="e">
        <f>'Coût Prévisionnel'!X43</f>
        <v>#REF!</v>
      </c>
      <c r="Z31" s="270" t="e">
        <f>'Coût Prévisionnel'!Y43</f>
        <v>#REF!</v>
      </c>
      <c r="AA31" s="270" t="e">
        <f>'Coût Prévisionnel'!Z43</f>
        <v>#REF!</v>
      </c>
    </row>
    <row r="32" spans="1:27" x14ac:dyDescent="0.3">
      <c r="A32" s="174" t="s">
        <v>197</v>
      </c>
      <c r="B32" s="199" t="e">
        <f>HLOOKUP($C$1,$C$26:$AA$32,7,0)</f>
        <v>#REF!</v>
      </c>
      <c r="C32" s="639" t="e">
        <f>C31+C30</f>
        <v>#REF!</v>
      </c>
      <c r="D32" s="639" t="e">
        <f>D31+D30</f>
        <v>#REF!</v>
      </c>
      <c r="E32" s="639" t="e">
        <f t="shared" ref="E32:K32" si="80">E31+E30</f>
        <v>#REF!</v>
      </c>
      <c r="F32" s="639" t="e">
        <f t="shared" si="80"/>
        <v>#REF!</v>
      </c>
      <c r="G32" s="639" t="e">
        <f t="shared" si="80"/>
        <v>#REF!</v>
      </c>
      <c r="H32" s="639" t="e">
        <f t="shared" si="80"/>
        <v>#REF!</v>
      </c>
      <c r="I32" s="639" t="e">
        <f t="shared" si="80"/>
        <v>#REF!</v>
      </c>
      <c r="J32" s="639" t="e">
        <f>J31+J30</f>
        <v>#REF!</v>
      </c>
      <c r="K32" s="639" t="e">
        <f t="shared" si="80"/>
        <v>#REF!</v>
      </c>
      <c r="L32" s="639" t="e">
        <f>L31+L30</f>
        <v>#REF!</v>
      </c>
      <c r="M32" s="639" t="e">
        <f>M31+M30</f>
        <v>#REF!</v>
      </c>
      <c r="N32" s="639" t="e">
        <f t="shared" ref="N32:AA32" si="81">N31+N30</f>
        <v>#REF!</v>
      </c>
      <c r="O32" s="639" t="e">
        <f t="shared" si="81"/>
        <v>#REF!</v>
      </c>
      <c r="P32" s="639" t="e">
        <f t="shared" si="81"/>
        <v>#REF!</v>
      </c>
      <c r="Q32" s="639" t="e">
        <f t="shared" si="81"/>
        <v>#REF!</v>
      </c>
      <c r="R32" s="639" t="e">
        <f t="shared" si="81"/>
        <v>#REF!</v>
      </c>
      <c r="S32" s="639" t="e">
        <f t="shared" si="81"/>
        <v>#REF!</v>
      </c>
      <c r="T32" s="639" t="e">
        <f t="shared" si="81"/>
        <v>#REF!</v>
      </c>
      <c r="U32" s="639" t="e">
        <f t="shared" si="81"/>
        <v>#REF!</v>
      </c>
      <c r="V32" s="639" t="e">
        <f t="shared" si="81"/>
        <v>#REF!</v>
      </c>
      <c r="W32" s="639" t="e">
        <f t="shared" si="81"/>
        <v>#REF!</v>
      </c>
      <c r="X32" s="639" t="e">
        <f t="shared" si="81"/>
        <v>#REF!</v>
      </c>
      <c r="Y32" s="270" t="e">
        <f t="shared" si="81"/>
        <v>#REF!</v>
      </c>
      <c r="Z32" s="270" t="e">
        <f t="shared" si="81"/>
        <v>#REF!</v>
      </c>
      <c r="AA32" s="270" t="e">
        <f t="shared" si="81"/>
        <v>#REF!</v>
      </c>
    </row>
    <row r="33" spans="1:27" x14ac:dyDescent="0.3">
      <c r="B33" s="200"/>
      <c r="C33" s="630"/>
      <c r="D33" s="641"/>
      <c r="E33" s="641"/>
      <c r="F33" s="641"/>
      <c r="G33" s="641"/>
      <c r="H33" s="641"/>
      <c r="I33" s="641"/>
      <c r="J33" s="641"/>
      <c r="K33" s="641"/>
      <c r="L33" s="641"/>
      <c r="M33" s="641"/>
      <c r="N33" s="641"/>
      <c r="O33" s="641"/>
      <c r="P33" s="641"/>
      <c r="Q33" s="641"/>
      <c r="R33" s="641"/>
      <c r="S33" s="641"/>
      <c r="T33" s="641"/>
      <c r="U33" s="641"/>
      <c r="V33" s="641"/>
      <c r="W33" s="641"/>
      <c r="X33" s="641"/>
      <c r="Y33" s="200"/>
      <c r="Z33" s="200"/>
      <c r="AA33" s="200"/>
    </row>
    <row r="34" spans="1:27" x14ac:dyDescent="0.3">
      <c r="C34" s="631"/>
      <c r="D34" s="631"/>
      <c r="E34" s="631"/>
      <c r="F34" s="631"/>
      <c r="G34" s="631"/>
      <c r="H34" s="631"/>
      <c r="I34" s="631"/>
      <c r="J34" s="631"/>
      <c r="K34" s="631"/>
      <c r="L34" s="631"/>
      <c r="M34" s="631"/>
      <c r="N34" s="631"/>
      <c r="O34" s="631"/>
      <c r="P34" s="631"/>
      <c r="Q34" s="631"/>
      <c r="R34" s="631"/>
      <c r="S34" s="631"/>
      <c r="T34" s="631"/>
      <c r="U34" s="631"/>
      <c r="V34" s="631"/>
      <c r="W34" s="631"/>
      <c r="X34" s="631"/>
    </row>
    <row r="35" spans="1:27" x14ac:dyDescent="0.3">
      <c r="A35" s="188" t="s">
        <v>198</v>
      </c>
      <c r="B35" s="189" t="s">
        <v>179</v>
      </c>
      <c r="C35" s="184">
        <f>C3</f>
        <v>45328</v>
      </c>
      <c r="D35" s="184">
        <f>DATE(YEAR(C35), MONTH(C35)+1, DAY(C35))</f>
        <v>45357</v>
      </c>
      <c r="E35" s="184">
        <f t="shared" ref="E35:N35" si="82">DATE(YEAR(D35), MONTH(D35)+1, DAY(D35))</f>
        <v>45388</v>
      </c>
      <c r="F35" s="184">
        <f t="shared" si="82"/>
        <v>45418</v>
      </c>
      <c r="G35" s="184">
        <f t="shared" si="82"/>
        <v>45449</v>
      </c>
      <c r="H35" s="184">
        <f t="shared" si="82"/>
        <v>45479</v>
      </c>
      <c r="I35" s="184">
        <f t="shared" si="82"/>
        <v>45510</v>
      </c>
      <c r="J35" s="184">
        <f t="shared" si="82"/>
        <v>45541</v>
      </c>
      <c r="K35" s="184">
        <f t="shared" si="82"/>
        <v>45571</v>
      </c>
      <c r="L35" s="184">
        <f t="shared" si="82"/>
        <v>45602</v>
      </c>
      <c r="M35" s="184">
        <f t="shared" si="82"/>
        <v>45632</v>
      </c>
      <c r="N35" s="184">
        <f t="shared" si="82"/>
        <v>45663</v>
      </c>
      <c r="O35" s="184">
        <f t="shared" ref="O35" si="83">DATE(YEAR(N35), MONTH(N35)+1, DAY(N35))</f>
        <v>45694</v>
      </c>
      <c r="P35" s="184">
        <f t="shared" ref="P35" si="84">DATE(YEAR(O35), MONTH(O35)+1, DAY(O35))</f>
        <v>45722</v>
      </c>
      <c r="Q35" s="184">
        <f t="shared" ref="Q35" si="85">DATE(YEAR(P35), MONTH(P35)+1, DAY(P35))</f>
        <v>45753</v>
      </c>
      <c r="R35" s="184">
        <f t="shared" ref="R35" si="86">DATE(YEAR(Q35), MONTH(Q35)+1, DAY(Q35))</f>
        <v>45783</v>
      </c>
      <c r="S35" s="184">
        <f t="shared" ref="S35" si="87">DATE(YEAR(R35), MONTH(R35)+1, DAY(R35))</f>
        <v>45814</v>
      </c>
      <c r="T35" s="184">
        <f t="shared" ref="T35" si="88">DATE(YEAR(S35), MONTH(S35)+1, DAY(S35))</f>
        <v>45844</v>
      </c>
      <c r="U35" s="184">
        <f t="shared" ref="U35" si="89">DATE(YEAR(T35), MONTH(T35)+1, DAY(T35))</f>
        <v>45875</v>
      </c>
      <c r="V35" s="184">
        <f t="shared" ref="V35" si="90">DATE(YEAR(U35), MONTH(U35)+1, DAY(U35))</f>
        <v>45906</v>
      </c>
      <c r="W35" s="184">
        <f t="shared" ref="W35" si="91">DATE(YEAR(V35), MONTH(V35)+1, DAY(V35))</f>
        <v>45936</v>
      </c>
      <c r="X35" s="184">
        <f t="shared" ref="X35" si="92">DATE(YEAR(W35), MONTH(W35)+1, DAY(W35))</f>
        <v>45967</v>
      </c>
      <c r="Y35" s="184">
        <f t="shared" ref="Y35" si="93">DATE(YEAR(X35), MONTH(X35)+1, DAY(X35))</f>
        <v>45997</v>
      </c>
      <c r="Z35" s="184">
        <f t="shared" ref="Z35" si="94">DATE(YEAR(Y35), MONTH(Y35)+1, DAY(Y35))</f>
        <v>46028</v>
      </c>
      <c r="AA35" s="184">
        <f t="shared" ref="AA35" si="95">DATE(YEAR(Z35), MONTH(Z35)+1, DAY(Z35))</f>
        <v>46059</v>
      </c>
    </row>
    <row r="36" spans="1:27" s="495" customFormat="1" x14ac:dyDescent="0.3">
      <c r="A36" s="114" t="s">
        <v>199</v>
      </c>
      <c r="B36" s="496" t="e">
        <f>HLOOKUP($C$1,$C$35:$AA$41,2,0)</f>
        <v>#REF!</v>
      </c>
      <c r="C36" s="642" t="e">
        <f>#REF!</f>
        <v>#REF!</v>
      </c>
      <c r="D36" s="642" t="e">
        <f>#REF!</f>
        <v>#REF!</v>
      </c>
      <c r="E36" s="642" t="e">
        <f>#REF!</f>
        <v>#REF!</v>
      </c>
      <c r="F36" s="642" t="e">
        <f>#REF!</f>
        <v>#REF!</v>
      </c>
      <c r="G36" s="642" t="e">
        <f>#REF!</f>
        <v>#REF!</v>
      </c>
      <c r="H36" s="642" t="e">
        <f>#REF!</f>
        <v>#REF!</v>
      </c>
      <c r="I36" s="642" t="e">
        <f>#REF!</f>
        <v>#REF!</v>
      </c>
      <c r="J36" s="642" t="e">
        <f>#REF!</f>
        <v>#REF!</v>
      </c>
      <c r="K36" s="642" t="e">
        <f>#REF!</f>
        <v>#REF!</v>
      </c>
      <c r="L36" s="642" t="e">
        <f>#REF!</f>
        <v>#REF!</v>
      </c>
      <c r="M36" s="642" t="e">
        <f>#REF!</f>
        <v>#REF!</v>
      </c>
      <c r="N36" s="642" t="e">
        <f>#REF!</f>
        <v>#REF!</v>
      </c>
      <c r="O36" s="642" t="e">
        <f>#REF!</f>
        <v>#REF!</v>
      </c>
      <c r="P36" s="642" t="e">
        <f>#REF!</f>
        <v>#REF!</v>
      </c>
      <c r="Q36" s="642" t="e">
        <f>#REF!</f>
        <v>#REF!</v>
      </c>
      <c r="R36" s="642" t="e">
        <f>#REF!</f>
        <v>#REF!</v>
      </c>
      <c r="S36" s="642" t="e">
        <f>#REF!</f>
        <v>#REF!</v>
      </c>
      <c r="T36" s="642" t="e">
        <f>#REF!</f>
        <v>#REF!</v>
      </c>
      <c r="U36" s="642" t="e">
        <f>#REF!</f>
        <v>#REF!</v>
      </c>
      <c r="V36" s="642" t="e">
        <f>#REF!</f>
        <v>#REF!</v>
      </c>
      <c r="W36" s="642" t="e">
        <f>#REF!</f>
        <v>#REF!</v>
      </c>
      <c r="X36" s="642" t="e">
        <f>#REF!</f>
        <v>#REF!</v>
      </c>
      <c r="Y36" s="497" t="e">
        <f>#REF!</f>
        <v>#REF!</v>
      </c>
      <c r="Z36" s="497" t="e">
        <f>#REF!</f>
        <v>#REF!</v>
      </c>
      <c r="AA36" s="497" t="e">
        <f>#REF!</f>
        <v>#REF!</v>
      </c>
    </row>
    <row r="37" spans="1:27" x14ac:dyDescent="0.3">
      <c r="A37" s="174" t="s">
        <v>200</v>
      </c>
      <c r="B37" s="199" t="e">
        <f>HLOOKUP($C$1,$C$35:$AA$41,3,0)</f>
        <v>#REF!</v>
      </c>
      <c r="C37" s="643" t="e">
        <f>C20-C30</f>
        <v>#REF!</v>
      </c>
      <c r="D37" s="643" t="e">
        <f>D20-D30</f>
        <v>#REF!</v>
      </c>
      <c r="E37" s="643" t="e">
        <f t="shared" ref="E37:N37" si="96">E20-E30</f>
        <v>#REF!</v>
      </c>
      <c r="F37" s="643" t="e">
        <f t="shared" si="96"/>
        <v>#REF!</v>
      </c>
      <c r="G37" s="643" t="e">
        <f t="shared" si="96"/>
        <v>#REF!</v>
      </c>
      <c r="H37" s="643" t="e">
        <f t="shared" si="96"/>
        <v>#REF!</v>
      </c>
      <c r="I37" s="643" t="e">
        <f t="shared" si="96"/>
        <v>#REF!</v>
      </c>
      <c r="J37" s="643" t="e">
        <f t="shared" si="96"/>
        <v>#REF!</v>
      </c>
      <c r="K37" s="643" t="e">
        <f>K20-K30</f>
        <v>#REF!</v>
      </c>
      <c r="L37" s="643" t="e">
        <f t="shared" si="96"/>
        <v>#REF!</v>
      </c>
      <c r="M37" s="643" t="e">
        <f>M20-M30</f>
        <v>#REF!</v>
      </c>
      <c r="N37" s="643" t="e">
        <f t="shared" si="96"/>
        <v>#REF!</v>
      </c>
      <c r="O37" s="643" t="e">
        <f>O20-O30</f>
        <v>#REF!</v>
      </c>
      <c r="P37" s="643" t="e">
        <f t="shared" ref="P37:AA37" si="97">P20-P30</f>
        <v>#REF!</v>
      </c>
      <c r="Q37" s="643" t="e">
        <f>Q20-Q30</f>
        <v>#REF!</v>
      </c>
      <c r="R37" s="643" t="e">
        <f t="shared" si="97"/>
        <v>#REF!</v>
      </c>
      <c r="S37" s="643" t="e">
        <f t="shared" si="97"/>
        <v>#REF!</v>
      </c>
      <c r="T37" s="643" t="e">
        <f t="shared" si="97"/>
        <v>#REF!</v>
      </c>
      <c r="U37" s="643" t="e">
        <f t="shared" si="97"/>
        <v>#REF!</v>
      </c>
      <c r="V37" s="643" t="e">
        <f t="shared" si="97"/>
        <v>#REF!</v>
      </c>
      <c r="W37" s="643" t="e">
        <f t="shared" si="97"/>
        <v>#REF!</v>
      </c>
      <c r="X37" s="643" t="e">
        <f t="shared" si="97"/>
        <v>#REF!</v>
      </c>
      <c r="Y37" s="272" t="e">
        <f t="shared" si="97"/>
        <v>#REF!</v>
      </c>
      <c r="Z37" s="272" t="e">
        <f t="shared" si="97"/>
        <v>#REF!</v>
      </c>
      <c r="AA37" s="272">
        <f t="shared" si="97"/>
        <v>602353.58242614102</v>
      </c>
    </row>
    <row r="38" spans="1:27" x14ac:dyDescent="0.3">
      <c r="A38" s="174" t="s">
        <v>201</v>
      </c>
      <c r="B38" s="199" t="e">
        <f>HLOOKUP($C$1,$C$35:$AA$41,4,0)</f>
        <v>#REF!</v>
      </c>
      <c r="C38" s="639" t="e">
        <f t="shared" ref="C38:AA38" si="98">C7-(C30+C31)</f>
        <v>#REF!</v>
      </c>
      <c r="D38" s="639" t="e">
        <f t="shared" si="98"/>
        <v>#REF!</v>
      </c>
      <c r="E38" s="639" t="e">
        <f t="shared" si="98"/>
        <v>#REF!</v>
      </c>
      <c r="F38" s="639" t="e">
        <f t="shared" si="98"/>
        <v>#REF!</v>
      </c>
      <c r="G38" s="639" t="e">
        <f t="shared" si="98"/>
        <v>#REF!</v>
      </c>
      <c r="H38" s="639" t="e">
        <f t="shared" si="98"/>
        <v>#REF!</v>
      </c>
      <c r="I38" s="639" t="e">
        <f t="shared" si="98"/>
        <v>#REF!</v>
      </c>
      <c r="J38" s="639" t="e">
        <f t="shared" si="98"/>
        <v>#REF!</v>
      </c>
      <c r="K38" s="639" t="e">
        <f t="shared" si="98"/>
        <v>#REF!</v>
      </c>
      <c r="L38" s="639" t="e">
        <f t="shared" si="98"/>
        <v>#REF!</v>
      </c>
      <c r="M38" s="639" t="e">
        <f t="shared" si="98"/>
        <v>#REF!</v>
      </c>
      <c r="N38" s="639" t="e">
        <f t="shared" si="98"/>
        <v>#REF!</v>
      </c>
      <c r="O38" s="639" t="e">
        <f t="shared" si="98"/>
        <v>#REF!</v>
      </c>
      <c r="P38" s="639" t="e">
        <f t="shared" si="98"/>
        <v>#REF!</v>
      </c>
      <c r="Q38" s="639" t="e">
        <f t="shared" si="98"/>
        <v>#REF!</v>
      </c>
      <c r="R38" s="639" t="e">
        <f t="shared" si="98"/>
        <v>#REF!</v>
      </c>
      <c r="S38" s="639" t="e">
        <f t="shared" si="98"/>
        <v>#REF!</v>
      </c>
      <c r="T38" s="639" t="e">
        <f t="shared" si="98"/>
        <v>#REF!</v>
      </c>
      <c r="U38" s="639" t="e">
        <f t="shared" si="98"/>
        <v>#REF!</v>
      </c>
      <c r="V38" s="639" t="e">
        <f t="shared" si="98"/>
        <v>#REF!</v>
      </c>
      <c r="W38" s="639" t="e">
        <f t="shared" si="98"/>
        <v>#REF!</v>
      </c>
      <c r="X38" s="639" t="e">
        <f t="shared" si="98"/>
        <v>#REF!</v>
      </c>
      <c r="Y38" s="270" t="e">
        <f t="shared" si="98"/>
        <v>#REF!</v>
      </c>
      <c r="Z38" s="270" t="e">
        <f t="shared" si="98"/>
        <v>#REF!</v>
      </c>
      <c r="AA38" s="270" t="e">
        <f t="shared" si="98"/>
        <v>#REF!</v>
      </c>
    </row>
    <row r="39" spans="1:27" s="495" customFormat="1" x14ac:dyDescent="0.3">
      <c r="A39" s="114" t="s">
        <v>58</v>
      </c>
      <c r="B39" s="494" t="e">
        <f>HLOOKUP($C$1,$C$35:$AA$41,5,0)</f>
        <v>#REF!</v>
      </c>
      <c r="C39" s="644" t="e">
        <f>#REF!</f>
        <v>#REF!</v>
      </c>
      <c r="D39" s="644" t="e">
        <f>#REF!</f>
        <v>#REF!</v>
      </c>
      <c r="E39" s="644" t="e">
        <f>#REF!</f>
        <v>#REF!</v>
      </c>
      <c r="F39" s="644" t="e">
        <f>#REF!</f>
        <v>#REF!</v>
      </c>
      <c r="G39" s="644" t="e">
        <f>#REF!</f>
        <v>#REF!</v>
      </c>
      <c r="H39" s="644" t="e">
        <f>#REF!</f>
        <v>#REF!</v>
      </c>
      <c r="I39" s="644" t="e">
        <f>#REF!</f>
        <v>#REF!</v>
      </c>
      <c r="J39" s="644" t="e">
        <f>#REF!</f>
        <v>#REF!</v>
      </c>
      <c r="K39" s="644" t="e">
        <f>#REF!</f>
        <v>#REF!</v>
      </c>
      <c r="L39" s="644" t="e">
        <f>#REF!</f>
        <v>#REF!</v>
      </c>
      <c r="M39" s="644" t="e">
        <f>#REF!</f>
        <v>#REF!</v>
      </c>
      <c r="N39" s="644" t="e">
        <f>#REF!</f>
        <v>#REF!</v>
      </c>
      <c r="O39" s="644" t="e">
        <f>#REF!</f>
        <v>#REF!</v>
      </c>
      <c r="P39" s="644" t="e">
        <f>#REF!</f>
        <v>#REF!</v>
      </c>
      <c r="Q39" s="644" t="e">
        <f>#REF!</f>
        <v>#REF!</v>
      </c>
      <c r="R39" s="644" t="e">
        <f>#REF!</f>
        <v>#REF!</v>
      </c>
      <c r="S39" s="644" t="e">
        <f>#REF!</f>
        <v>#REF!</v>
      </c>
      <c r="T39" s="644" t="e">
        <f>#REF!</f>
        <v>#REF!</v>
      </c>
      <c r="U39" s="644" t="e">
        <f>#REF!</f>
        <v>#REF!</v>
      </c>
      <c r="V39" s="644" t="e">
        <f>#REF!</f>
        <v>#REF!</v>
      </c>
      <c r="W39" s="644" t="e">
        <f>#REF!</f>
        <v>#REF!</v>
      </c>
      <c r="X39" s="644" t="e">
        <f>#REF!</f>
        <v>#REF!</v>
      </c>
      <c r="Y39" s="494" t="e">
        <f>#REF!</f>
        <v>#REF!</v>
      </c>
      <c r="Z39" s="494" t="e">
        <f>#REF!</f>
        <v>#REF!</v>
      </c>
      <c r="AA39" s="494" t="e">
        <f>#REF!</f>
        <v>#REF!</v>
      </c>
    </row>
    <row r="40" spans="1:27" x14ac:dyDescent="0.3">
      <c r="A40" s="174" t="s">
        <v>202</v>
      </c>
      <c r="B40" s="185" t="e">
        <f>HLOOKUP($C$1,$C$35:$AA$41,6,0)</f>
        <v>#REF!</v>
      </c>
      <c r="C40" s="645" t="e">
        <f>C37/C20</f>
        <v>#REF!</v>
      </c>
      <c r="D40" s="645" t="e">
        <f>D37/D20</f>
        <v>#REF!</v>
      </c>
      <c r="E40" s="645" t="e">
        <f>E37/E20</f>
        <v>#REF!</v>
      </c>
      <c r="F40" s="645" t="e">
        <f t="shared" ref="F40:N40" si="99">F37/F20</f>
        <v>#REF!</v>
      </c>
      <c r="G40" s="645" t="e">
        <f t="shared" si="99"/>
        <v>#REF!</v>
      </c>
      <c r="H40" s="645" t="e">
        <f t="shared" si="99"/>
        <v>#REF!</v>
      </c>
      <c r="I40" s="645" t="e">
        <f t="shared" si="99"/>
        <v>#REF!</v>
      </c>
      <c r="J40" s="645" t="e">
        <f t="shared" si="99"/>
        <v>#REF!</v>
      </c>
      <c r="K40" s="645" t="e">
        <f>K37/K20</f>
        <v>#REF!</v>
      </c>
      <c r="L40" s="645" t="e">
        <f>L37/L20</f>
        <v>#REF!</v>
      </c>
      <c r="M40" s="645" t="e">
        <f>M37/M20</f>
        <v>#REF!</v>
      </c>
      <c r="N40" s="645" t="e">
        <f t="shared" si="99"/>
        <v>#REF!</v>
      </c>
      <c r="O40" s="645" t="e">
        <f t="shared" ref="O40:AA40" si="100">O37/O20</f>
        <v>#REF!</v>
      </c>
      <c r="P40" s="645" t="e">
        <f>P37/P20</f>
        <v>#REF!</v>
      </c>
      <c r="Q40" s="645" t="e">
        <f>Q37/Q20</f>
        <v>#REF!</v>
      </c>
      <c r="R40" s="645" t="e">
        <f>R37/R20</f>
        <v>#REF!</v>
      </c>
      <c r="S40" s="645" t="e">
        <f t="shared" si="100"/>
        <v>#REF!</v>
      </c>
      <c r="T40" s="645" t="e">
        <f t="shared" si="100"/>
        <v>#REF!</v>
      </c>
      <c r="U40" s="645" t="e">
        <f t="shared" si="100"/>
        <v>#REF!</v>
      </c>
      <c r="V40" s="645" t="e">
        <f t="shared" si="100"/>
        <v>#REF!</v>
      </c>
      <c r="W40" s="645" t="e">
        <f>W37/W20</f>
        <v>#REF!</v>
      </c>
      <c r="X40" s="645" t="e">
        <f t="shared" si="100"/>
        <v>#REF!</v>
      </c>
      <c r="Y40" s="185" t="e">
        <f t="shared" si="100"/>
        <v>#REF!</v>
      </c>
      <c r="Z40" s="185" t="e">
        <f t="shared" si="100"/>
        <v>#REF!</v>
      </c>
      <c r="AA40" s="185">
        <f t="shared" si="100"/>
        <v>0.47434590253571368</v>
      </c>
    </row>
    <row r="41" spans="1:27" x14ac:dyDescent="0.3">
      <c r="A41" s="174" t="s">
        <v>203</v>
      </c>
      <c r="B41" s="185" t="e">
        <f>HLOOKUP($C$1,$C$35:$AA$41,7,0)</f>
        <v>#REF!</v>
      </c>
      <c r="C41" s="646" t="e">
        <f t="shared" ref="C41:AA41" si="101">C38/C7</f>
        <v>#REF!</v>
      </c>
      <c r="D41" s="646" t="e">
        <f t="shared" si="101"/>
        <v>#REF!</v>
      </c>
      <c r="E41" s="646" t="e">
        <f t="shared" si="101"/>
        <v>#REF!</v>
      </c>
      <c r="F41" s="646" t="e">
        <f t="shared" si="101"/>
        <v>#REF!</v>
      </c>
      <c r="G41" s="646" t="e">
        <f t="shared" si="101"/>
        <v>#REF!</v>
      </c>
      <c r="H41" s="646" t="e">
        <f t="shared" si="101"/>
        <v>#REF!</v>
      </c>
      <c r="I41" s="646" t="e">
        <f t="shared" si="101"/>
        <v>#REF!</v>
      </c>
      <c r="J41" s="646" t="e">
        <f t="shared" si="101"/>
        <v>#REF!</v>
      </c>
      <c r="K41" s="646" t="e">
        <f t="shared" si="101"/>
        <v>#REF!</v>
      </c>
      <c r="L41" s="646" t="e">
        <f t="shared" si="101"/>
        <v>#REF!</v>
      </c>
      <c r="M41" s="646" t="e">
        <f t="shared" si="101"/>
        <v>#REF!</v>
      </c>
      <c r="N41" s="646" t="e">
        <f t="shared" si="101"/>
        <v>#REF!</v>
      </c>
      <c r="O41" s="646" t="e">
        <f t="shared" si="101"/>
        <v>#REF!</v>
      </c>
      <c r="P41" s="646" t="e">
        <f t="shared" si="101"/>
        <v>#REF!</v>
      </c>
      <c r="Q41" s="646" t="e">
        <f t="shared" si="101"/>
        <v>#REF!</v>
      </c>
      <c r="R41" s="646" t="e">
        <f t="shared" si="101"/>
        <v>#REF!</v>
      </c>
      <c r="S41" s="646" t="e">
        <f t="shared" si="101"/>
        <v>#REF!</v>
      </c>
      <c r="T41" s="646" t="e">
        <f t="shared" si="101"/>
        <v>#REF!</v>
      </c>
      <c r="U41" s="646" t="e">
        <f t="shared" si="101"/>
        <v>#REF!</v>
      </c>
      <c r="V41" s="646" t="e">
        <f t="shared" si="101"/>
        <v>#REF!</v>
      </c>
      <c r="W41" s="646" t="e">
        <f t="shared" si="101"/>
        <v>#REF!</v>
      </c>
      <c r="X41" s="646" t="e">
        <f t="shared" si="101"/>
        <v>#REF!</v>
      </c>
      <c r="Y41" s="187" t="e">
        <f t="shared" si="101"/>
        <v>#REF!</v>
      </c>
      <c r="Z41" s="187" t="e">
        <f t="shared" si="101"/>
        <v>#REF!</v>
      </c>
      <c r="AA41" s="187" t="e">
        <f t="shared" si="101"/>
        <v>#REF!</v>
      </c>
    </row>
    <row r="42" spans="1:27" x14ac:dyDescent="0.3">
      <c r="B42" s="193"/>
      <c r="C42" s="630"/>
      <c r="D42" s="630"/>
      <c r="E42" s="630"/>
      <c r="F42" s="630"/>
      <c r="G42" s="630"/>
      <c r="H42" s="630"/>
      <c r="I42" s="630"/>
      <c r="J42" s="630"/>
      <c r="K42" s="630"/>
      <c r="L42" s="630"/>
      <c r="M42" s="630"/>
      <c r="N42" s="630"/>
      <c r="O42" s="630"/>
      <c r="P42" s="630"/>
      <c r="Q42" s="630"/>
      <c r="R42" s="630"/>
      <c r="S42" s="630"/>
      <c r="T42" s="630"/>
      <c r="U42" s="630"/>
      <c r="V42" s="630"/>
      <c r="W42" s="630"/>
      <c r="X42" s="630"/>
      <c r="Y42" s="194"/>
      <c r="Z42" s="194"/>
      <c r="AA42" s="194"/>
    </row>
    <row r="43" spans="1:27" x14ac:dyDescent="0.3">
      <c r="B43" s="193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0"/>
      <c r="N43" s="630"/>
      <c r="O43" s="630"/>
      <c r="P43" s="630"/>
      <c r="Q43" s="630"/>
      <c r="R43" s="630"/>
      <c r="S43" s="630"/>
      <c r="T43" s="630"/>
      <c r="U43" s="630"/>
      <c r="V43" s="630"/>
      <c r="W43" s="630"/>
      <c r="X43" s="630"/>
      <c r="Y43" s="194"/>
      <c r="Z43" s="194"/>
      <c r="AA43" s="194"/>
    </row>
    <row r="44" spans="1:27" x14ac:dyDescent="0.3">
      <c r="A44" s="188" t="s">
        <v>204</v>
      </c>
      <c r="B44" s="189" t="s">
        <v>179</v>
      </c>
      <c r="C44" s="184">
        <f>C3</f>
        <v>45328</v>
      </c>
      <c r="D44" s="184">
        <f>DATE(YEAR(C44), MONTH(C44)+1, DAY(C44))</f>
        <v>45357</v>
      </c>
      <c r="E44" s="184">
        <f t="shared" ref="E44:N44" si="102">DATE(YEAR(D44), MONTH(D44)+1, DAY(D44))</f>
        <v>45388</v>
      </c>
      <c r="F44" s="184">
        <f t="shared" si="102"/>
        <v>45418</v>
      </c>
      <c r="G44" s="184">
        <f t="shared" si="102"/>
        <v>45449</v>
      </c>
      <c r="H44" s="184">
        <f t="shared" si="102"/>
        <v>45479</v>
      </c>
      <c r="I44" s="184">
        <f t="shared" si="102"/>
        <v>45510</v>
      </c>
      <c r="J44" s="184">
        <f t="shared" si="102"/>
        <v>45541</v>
      </c>
      <c r="K44" s="184">
        <f t="shared" si="102"/>
        <v>45571</v>
      </c>
      <c r="L44" s="184">
        <f t="shared" si="102"/>
        <v>45602</v>
      </c>
      <c r="M44" s="184">
        <f t="shared" si="102"/>
        <v>45632</v>
      </c>
      <c r="N44" s="184">
        <f t="shared" si="102"/>
        <v>45663</v>
      </c>
      <c r="O44" s="184">
        <f t="shared" ref="O44" si="103">DATE(YEAR(N44), MONTH(N44)+1, DAY(N44))</f>
        <v>45694</v>
      </c>
      <c r="P44" s="184">
        <f t="shared" ref="P44" si="104">DATE(YEAR(O44), MONTH(O44)+1, DAY(O44))</f>
        <v>45722</v>
      </c>
      <c r="Q44" s="184">
        <f t="shared" ref="Q44" si="105">DATE(YEAR(P44), MONTH(P44)+1, DAY(P44))</f>
        <v>45753</v>
      </c>
      <c r="R44" s="184">
        <f t="shared" ref="R44" si="106">DATE(YEAR(Q44), MONTH(Q44)+1, DAY(Q44))</f>
        <v>45783</v>
      </c>
      <c r="S44" s="184">
        <f t="shared" ref="S44" si="107">DATE(YEAR(R44), MONTH(R44)+1, DAY(R44))</f>
        <v>45814</v>
      </c>
      <c r="T44" s="184">
        <f t="shared" ref="T44" si="108">DATE(YEAR(S44), MONTH(S44)+1, DAY(S44))</f>
        <v>45844</v>
      </c>
      <c r="U44" s="184">
        <f t="shared" ref="U44" si="109">DATE(YEAR(T44), MONTH(T44)+1, DAY(T44))</f>
        <v>45875</v>
      </c>
      <c r="V44" s="184">
        <f t="shared" ref="V44" si="110">DATE(YEAR(U44), MONTH(U44)+1, DAY(U44))</f>
        <v>45906</v>
      </c>
      <c r="W44" s="184">
        <f t="shared" ref="W44" si="111">DATE(YEAR(V44), MONTH(V44)+1, DAY(V44))</f>
        <v>45936</v>
      </c>
      <c r="X44" s="184">
        <f t="shared" ref="X44" si="112">DATE(YEAR(W44), MONTH(W44)+1, DAY(W44))</f>
        <v>45967</v>
      </c>
      <c r="Y44" s="184">
        <f t="shared" ref="Y44" si="113">DATE(YEAR(X44), MONTH(X44)+1, DAY(X44))</f>
        <v>45997</v>
      </c>
      <c r="Z44" s="184">
        <f t="shared" ref="Z44" si="114">DATE(YEAR(Y44), MONTH(Y44)+1, DAY(Y44))</f>
        <v>46028</v>
      </c>
      <c r="AA44" s="184">
        <f t="shared" ref="AA44" si="115">DATE(YEAR(Z44), MONTH(Z44)+1, DAY(Z44))</f>
        <v>46059</v>
      </c>
    </row>
    <row r="45" spans="1:27" s="495" customFormat="1" x14ac:dyDescent="0.3">
      <c r="A45" s="114" t="s">
        <v>205</v>
      </c>
      <c r="B45" s="496" t="e">
        <f>HLOOKUP($C$1,$C$44:$AA$50,2,0)</f>
        <v>#REF!</v>
      </c>
      <c r="C45" s="647" t="e">
        <f>#REF!</f>
        <v>#REF!</v>
      </c>
      <c r="D45" s="647" t="e">
        <f>#REF!</f>
        <v>#REF!</v>
      </c>
      <c r="E45" s="647" t="e">
        <f>#REF!</f>
        <v>#REF!</v>
      </c>
      <c r="F45" s="647" t="e">
        <f>#REF!</f>
        <v>#REF!</v>
      </c>
      <c r="G45" s="647" t="e">
        <f>#REF!</f>
        <v>#REF!</v>
      </c>
      <c r="H45" s="647" t="e">
        <f>#REF!</f>
        <v>#REF!</v>
      </c>
      <c r="I45" s="647" t="e">
        <f>#REF!</f>
        <v>#REF!</v>
      </c>
      <c r="J45" s="647" t="e">
        <f>#REF!</f>
        <v>#REF!</v>
      </c>
      <c r="K45" s="647" t="e">
        <f>#REF!</f>
        <v>#REF!</v>
      </c>
      <c r="L45" s="647" t="e">
        <f>#REF!</f>
        <v>#REF!</v>
      </c>
      <c r="M45" s="647" t="e">
        <f>#REF!</f>
        <v>#REF!</v>
      </c>
      <c r="N45" s="647" t="e">
        <f>#REF!</f>
        <v>#REF!</v>
      </c>
      <c r="O45" s="647" t="e">
        <f>#REF!</f>
        <v>#REF!</v>
      </c>
      <c r="P45" s="647" t="e">
        <f>#REF!</f>
        <v>#REF!</v>
      </c>
      <c r="Q45" s="647" t="e">
        <f>#REF!</f>
        <v>#REF!</v>
      </c>
      <c r="R45" s="647" t="e">
        <f>#REF!</f>
        <v>#REF!</v>
      </c>
      <c r="S45" s="647" t="e">
        <f>#REF!</f>
        <v>#REF!</v>
      </c>
      <c r="T45" s="647" t="e">
        <f>#REF!</f>
        <v>#REF!</v>
      </c>
      <c r="U45" s="647" t="e">
        <f>#REF!</f>
        <v>#REF!</v>
      </c>
      <c r="V45" s="647" t="e">
        <f>#REF!</f>
        <v>#REF!</v>
      </c>
      <c r="W45" s="647" t="e">
        <f>#REF!</f>
        <v>#REF!</v>
      </c>
      <c r="X45" s="647" t="e">
        <f>#REF!</f>
        <v>#REF!</v>
      </c>
      <c r="Y45" s="500" t="e">
        <f>#REF!</f>
        <v>#REF!</v>
      </c>
      <c r="Z45" s="500" t="e">
        <f>#REF!</f>
        <v>#REF!</v>
      </c>
      <c r="AA45" s="500" t="e">
        <f>#REF!</f>
        <v>#REF!</v>
      </c>
    </row>
    <row r="46" spans="1:27" x14ac:dyDescent="0.3">
      <c r="A46" s="174" t="s">
        <v>206</v>
      </c>
      <c r="B46" s="199">
        <f>HLOOKUP($C$1,$C$44:$AA$50,3,0)</f>
        <v>9.625</v>
      </c>
      <c r="C46" s="648">
        <f>'Coût réel Actualisé'!B26</f>
        <v>118</v>
      </c>
      <c r="D46" s="648">
        <f>'Coût réel Actualisé'!C26</f>
        <v>125</v>
      </c>
      <c r="E46" s="648">
        <f>'Coût réel Actualisé'!D26</f>
        <v>186</v>
      </c>
      <c r="F46" s="648">
        <f>'Coût réel Actualisé'!E26</f>
        <v>184</v>
      </c>
      <c r="G46" s="648">
        <f>'Coût réel Actualisé'!F26</f>
        <v>201</v>
      </c>
      <c r="H46" s="648">
        <f>'Coût réel Actualisé'!G26</f>
        <v>230.5</v>
      </c>
      <c r="I46" s="648">
        <f>'Coût réel Actualisé'!H26</f>
        <v>174.75</v>
      </c>
      <c r="J46" s="648">
        <f>'Coût réel Actualisé'!I26</f>
        <v>218.5625</v>
      </c>
      <c r="K46" s="648">
        <f>'Coût réel Actualisé'!J26</f>
        <v>187.6875</v>
      </c>
      <c r="L46" s="648">
        <f>'Coût réel Actualisé'!K26</f>
        <v>187.72499999999999</v>
      </c>
      <c r="M46" s="648">
        <f>'Coût réel Actualisé'!L26</f>
        <v>168.125</v>
      </c>
      <c r="N46" s="648">
        <f>'Coût réel Actualisé'!M26</f>
        <v>101.625</v>
      </c>
      <c r="O46" s="648">
        <f>'Coût réel Actualisé'!N26</f>
        <v>49</v>
      </c>
      <c r="P46" s="648">
        <f>'Coût réel Actualisé'!O26</f>
        <v>14.75</v>
      </c>
      <c r="Q46" s="648">
        <f>'Coût réel Actualisé'!P26</f>
        <v>9.5</v>
      </c>
      <c r="R46" s="648">
        <f>'Coût réel Actualisé'!Q26</f>
        <v>1.75</v>
      </c>
      <c r="S46" s="648">
        <f>'Coût réel Actualisé'!R26</f>
        <v>4.625</v>
      </c>
      <c r="T46" s="648">
        <f>'Coût réel Actualisé'!S26</f>
        <v>2.625</v>
      </c>
      <c r="U46" s="648">
        <f>'Coût réel Actualisé'!T26</f>
        <v>8</v>
      </c>
      <c r="V46" s="648">
        <f>'Coût réel Actualisé'!U26</f>
        <v>5.25</v>
      </c>
      <c r="W46" s="648">
        <f>'Coût réel Actualisé'!V26</f>
        <v>8.625</v>
      </c>
      <c r="X46" s="648">
        <f>'Coût réel Actualisé'!W26</f>
        <v>2.375</v>
      </c>
      <c r="Y46" s="273">
        <f>'Coût réel Actualisé'!X26</f>
        <v>9.625</v>
      </c>
      <c r="Z46" s="273">
        <f>'Coût réel Actualisé'!Y26</f>
        <v>0</v>
      </c>
      <c r="AA46" s="273">
        <f>'Coût réel Actualisé'!Z26</f>
        <v>0</v>
      </c>
    </row>
    <row r="47" spans="1:27" x14ac:dyDescent="0.3">
      <c r="A47" s="174" t="s">
        <v>207</v>
      </c>
      <c r="B47" s="199">
        <f>HLOOKUP($C$1,$C$44:$AA$50,4,0)</f>
        <v>2199.1</v>
      </c>
      <c r="C47" s="648">
        <f>'Coût réel Actualisé'!B27</f>
        <v>118</v>
      </c>
      <c r="D47" s="648">
        <f>'Coût réel Actualisé'!C27</f>
        <v>243</v>
      </c>
      <c r="E47" s="648">
        <f>'Coût réel Actualisé'!D27</f>
        <v>429</v>
      </c>
      <c r="F47" s="648">
        <f>'Coût réel Actualisé'!E27</f>
        <v>613</v>
      </c>
      <c r="G47" s="648">
        <f>'Coût réel Actualisé'!F27</f>
        <v>814</v>
      </c>
      <c r="H47" s="648">
        <f>'Coût réel Actualisé'!G27</f>
        <v>1044.5</v>
      </c>
      <c r="I47" s="648">
        <f>'Coût réel Actualisé'!H27</f>
        <v>1219.25</v>
      </c>
      <c r="J47" s="648">
        <f>'Coût réel Actualisé'!I27</f>
        <v>1437.8125</v>
      </c>
      <c r="K47" s="648">
        <f>'Coût réel Actualisé'!J27</f>
        <v>1625.5</v>
      </c>
      <c r="L47" s="648">
        <f>'Coût réel Actualisé'!K27</f>
        <v>1813.2249999999999</v>
      </c>
      <c r="M47" s="648">
        <f>'Coût réel Actualisé'!L27</f>
        <v>1981.35</v>
      </c>
      <c r="N47" s="648">
        <f>'Coût réel Actualisé'!M27</f>
        <v>2082.9749999999999</v>
      </c>
      <c r="O47" s="648">
        <f>'Coût réel Actualisé'!N27</f>
        <v>2131.9749999999999</v>
      </c>
      <c r="P47" s="648">
        <f>'Coût réel Actualisé'!O27</f>
        <v>2146.7249999999999</v>
      </c>
      <c r="Q47" s="648">
        <f>'Coût réel Actualisé'!P27</f>
        <v>2156.2249999999999</v>
      </c>
      <c r="R47" s="648">
        <f>'Coût réel Actualisé'!Q27</f>
        <v>2157.9749999999999</v>
      </c>
      <c r="S47" s="648">
        <f>'Coût réel Actualisé'!R27</f>
        <v>2162.6</v>
      </c>
      <c r="T47" s="648">
        <f>'Coût réel Actualisé'!S27</f>
        <v>2165.2249999999999</v>
      </c>
      <c r="U47" s="648">
        <f>'Coût réel Actualisé'!T27</f>
        <v>2173.2249999999999</v>
      </c>
      <c r="V47" s="648">
        <f>'Coût réel Actualisé'!U27</f>
        <v>2178.4749999999999</v>
      </c>
      <c r="W47" s="648">
        <f>'Coût réel Actualisé'!V27</f>
        <v>2187.1</v>
      </c>
      <c r="X47" s="648">
        <f>'Coût réel Actualisé'!W27</f>
        <v>2189.4749999999999</v>
      </c>
      <c r="Y47" s="273">
        <f>'Coût réel Actualisé'!X27</f>
        <v>2199.1</v>
      </c>
      <c r="Z47" s="273">
        <f>'Coût réel Actualisé'!Y27</f>
        <v>2199.1</v>
      </c>
      <c r="AA47" s="273">
        <f>'Coût réel Actualisé'!Z27</f>
        <v>2199.1</v>
      </c>
    </row>
    <row r="48" spans="1:27" x14ac:dyDescent="0.3">
      <c r="A48" s="174" t="s">
        <v>208</v>
      </c>
      <c r="B48" s="199">
        <f>HLOOKUP($C$1,$C$44:$AA$50,5,0)</f>
        <v>12</v>
      </c>
      <c r="C48" s="649">
        <f>'Coût Prévisionnel'!B24</f>
        <v>1769</v>
      </c>
      <c r="D48" s="649">
        <f>'Coût Prévisionnel'!C24</f>
        <v>1654</v>
      </c>
      <c r="E48" s="649">
        <f>'Coût Prévisionnel'!D24</f>
        <v>1529</v>
      </c>
      <c r="F48" s="649">
        <f>'Coût Prévisionnel'!E24</f>
        <v>1394</v>
      </c>
      <c r="G48" s="649">
        <f>'Coût Prévisionnel'!F24</f>
        <v>1229</v>
      </c>
      <c r="H48" s="649">
        <f>'Coût Prévisionnel'!G24</f>
        <v>1009</v>
      </c>
      <c r="I48" s="649">
        <f>'Coût Prévisionnel'!H24</f>
        <v>829</v>
      </c>
      <c r="J48" s="649">
        <f>'Coût Prévisionnel'!I24</f>
        <v>641</v>
      </c>
      <c r="K48" s="649">
        <f>'Coût Prévisionnel'!J24</f>
        <v>448</v>
      </c>
      <c r="L48" s="649">
        <f>'Coût Prévisionnel'!K24</f>
        <v>303</v>
      </c>
      <c r="M48" s="649">
        <f>'Coût Prévisionnel'!L24</f>
        <v>193</v>
      </c>
      <c r="N48" s="649">
        <f>'Coût Prévisionnel'!M24</f>
        <v>92</v>
      </c>
      <c r="O48" s="649">
        <f>'Coût Prévisionnel'!N24</f>
        <v>72</v>
      </c>
      <c r="P48" s="649">
        <f>'Coût Prévisionnel'!O24</f>
        <v>66</v>
      </c>
      <c r="Q48" s="649">
        <f>'Coût Prévisionnel'!P24</f>
        <v>60</v>
      </c>
      <c r="R48" s="649">
        <f>'Coût Prévisionnel'!Q24</f>
        <v>54</v>
      </c>
      <c r="S48" s="649">
        <f>'Coût Prévisionnel'!R24</f>
        <v>48</v>
      </c>
      <c r="T48" s="649">
        <f>'Coût Prévisionnel'!S24</f>
        <v>42</v>
      </c>
      <c r="U48" s="649">
        <f>'Coût Prévisionnel'!T24</f>
        <v>36</v>
      </c>
      <c r="V48" s="649">
        <f>'Coût Prévisionnel'!U24</f>
        <v>30</v>
      </c>
      <c r="W48" s="649">
        <f>'Coût Prévisionnel'!V24</f>
        <v>24</v>
      </c>
      <c r="X48" s="649">
        <f>'Coût Prévisionnel'!W24</f>
        <v>18</v>
      </c>
      <c r="Y48" s="199">
        <f>'Coût Prévisionnel'!X24</f>
        <v>12</v>
      </c>
      <c r="Z48" s="199">
        <f>'Coût Prévisionnel'!Y24</f>
        <v>6</v>
      </c>
      <c r="AA48" s="199">
        <f>'Coût Prévisionnel'!Z24</f>
        <v>0</v>
      </c>
    </row>
    <row r="49" spans="1:27" x14ac:dyDescent="0.3">
      <c r="A49" s="174" t="s">
        <v>209</v>
      </c>
      <c r="B49" s="199">
        <f>HLOOKUP($C$1,$C$44:$AA$50,6,0)</f>
        <v>2211.1</v>
      </c>
      <c r="C49" s="649">
        <f>C48+C47</f>
        <v>1887</v>
      </c>
      <c r="D49" s="649">
        <f t="shared" ref="D49:N49" si="116">D48+D47</f>
        <v>1897</v>
      </c>
      <c r="E49" s="649">
        <f t="shared" si="116"/>
        <v>1958</v>
      </c>
      <c r="F49" s="649">
        <f t="shared" si="116"/>
        <v>2007</v>
      </c>
      <c r="G49" s="649">
        <f t="shared" si="116"/>
        <v>2043</v>
      </c>
      <c r="H49" s="649">
        <f t="shared" si="116"/>
        <v>2053.5</v>
      </c>
      <c r="I49" s="649">
        <f t="shared" si="116"/>
        <v>2048.25</v>
      </c>
      <c r="J49" s="649">
        <f t="shared" si="116"/>
        <v>2078.8125</v>
      </c>
      <c r="K49" s="649">
        <f t="shared" si="116"/>
        <v>2073.5</v>
      </c>
      <c r="L49" s="649">
        <f t="shared" si="116"/>
        <v>2116.2249999999999</v>
      </c>
      <c r="M49" s="649">
        <f>M48+M47</f>
        <v>2174.35</v>
      </c>
      <c r="N49" s="649">
        <f t="shared" si="116"/>
        <v>2174.9749999999999</v>
      </c>
      <c r="O49" s="649">
        <f t="shared" ref="O49:AA49" si="117">O48+O47</f>
        <v>2203.9749999999999</v>
      </c>
      <c r="P49" s="649">
        <f t="shared" si="117"/>
        <v>2212.7249999999999</v>
      </c>
      <c r="Q49" s="649">
        <f t="shared" si="117"/>
        <v>2216.2249999999999</v>
      </c>
      <c r="R49" s="649">
        <f t="shared" si="117"/>
        <v>2211.9749999999999</v>
      </c>
      <c r="S49" s="649">
        <f t="shared" si="117"/>
        <v>2210.6</v>
      </c>
      <c r="T49" s="649">
        <f t="shared" si="117"/>
        <v>2207.2249999999999</v>
      </c>
      <c r="U49" s="649">
        <f t="shared" si="117"/>
        <v>2209.2249999999999</v>
      </c>
      <c r="V49" s="649">
        <f t="shared" si="117"/>
        <v>2208.4749999999999</v>
      </c>
      <c r="W49" s="649">
        <f t="shared" si="117"/>
        <v>2211.1</v>
      </c>
      <c r="X49" s="649">
        <f t="shared" si="117"/>
        <v>2207.4749999999999</v>
      </c>
      <c r="Y49" s="199">
        <f t="shared" si="117"/>
        <v>2211.1</v>
      </c>
      <c r="Z49" s="199">
        <f t="shared" si="117"/>
        <v>2205.1</v>
      </c>
      <c r="AA49" s="199">
        <f t="shared" si="117"/>
        <v>2199.1</v>
      </c>
    </row>
    <row r="50" spans="1:27" x14ac:dyDescent="0.3">
      <c r="A50" s="174" t="s">
        <v>133</v>
      </c>
      <c r="B50" s="199" t="e">
        <f>HLOOKUP($C$1,$C$44:$AA$50,7,0)</f>
        <v>#REF!</v>
      </c>
      <c r="C50" s="649" t="e">
        <f>C49-C45</f>
        <v>#REF!</v>
      </c>
      <c r="D50" s="649" t="e">
        <f t="shared" ref="D50:AA50" si="118">D49-D45</f>
        <v>#REF!</v>
      </c>
      <c r="E50" s="649" t="e">
        <f t="shared" si="118"/>
        <v>#REF!</v>
      </c>
      <c r="F50" s="649" t="e">
        <f t="shared" si="118"/>
        <v>#REF!</v>
      </c>
      <c r="G50" s="649" t="e">
        <f t="shared" si="118"/>
        <v>#REF!</v>
      </c>
      <c r="H50" s="649" t="e">
        <f t="shared" si="118"/>
        <v>#REF!</v>
      </c>
      <c r="I50" s="649" t="e">
        <f t="shared" si="118"/>
        <v>#REF!</v>
      </c>
      <c r="J50" s="649" t="e">
        <f t="shared" si="118"/>
        <v>#REF!</v>
      </c>
      <c r="K50" s="649" t="e">
        <f t="shared" si="118"/>
        <v>#REF!</v>
      </c>
      <c r="L50" s="649" t="e">
        <f t="shared" si="118"/>
        <v>#REF!</v>
      </c>
      <c r="M50" s="649" t="e">
        <f t="shared" si="118"/>
        <v>#REF!</v>
      </c>
      <c r="N50" s="649" t="e">
        <f t="shared" si="118"/>
        <v>#REF!</v>
      </c>
      <c r="O50" s="649" t="e">
        <f t="shared" si="118"/>
        <v>#REF!</v>
      </c>
      <c r="P50" s="649" t="e">
        <f t="shared" si="118"/>
        <v>#REF!</v>
      </c>
      <c r="Q50" s="649" t="e">
        <f t="shared" si="118"/>
        <v>#REF!</v>
      </c>
      <c r="R50" s="649" t="e">
        <f t="shared" si="118"/>
        <v>#REF!</v>
      </c>
      <c r="S50" s="649" t="e">
        <f t="shared" si="118"/>
        <v>#REF!</v>
      </c>
      <c r="T50" s="649" t="e">
        <f t="shared" si="118"/>
        <v>#REF!</v>
      </c>
      <c r="U50" s="649" t="e">
        <f t="shared" si="118"/>
        <v>#REF!</v>
      </c>
      <c r="V50" s="649" t="e">
        <f t="shared" si="118"/>
        <v>#REF!</v>
      </c>
      <c r="W50" s="649" t="e">
        <f t="shared" si="118"/>
        <v>#REF!</v>
      </c>
      <c r="X50" s="649" t="e">
        <f t="shared" si="118"/>
        <v>#REF!</v>
      </c>
      <c r="Y50" s="199" t="e">
        <f t="shared" si="118"/>
        <v>#REF!</v>
      </c>
      <c r="Z50" s="199" t="e">
        <f t="shared" si="118"/>
        <v>#REF!</v>
      </c>
      <c r="AA50" s="199" t="e">
        <f t="shared" si="118"/>
        <v>#REF!</v>
      </c>
    </row>
    <row r="51" spans="1:27" x14ac:dyDescent="0.3">
      <c r="C51" s="631"/>
      <c r="D51" s="631"/>
      <c r="E51" s="631"/>
      <c r="F51" s="631"/>
      <c r="G51" s="631"/>
      <c r="H51" s="631"/>
      <c r="I51" s="631"/>
      <c r="J51" s="631"/>
      <c r="K51" s="631"/>
      <c r="L51" s="631"/>
      <c r="M51" s="631"/>
      <c r="N51" s="631"/>
      <c r="O51" s="631"/>
      <c r="P51" s="631"/>
      <c r="Q51" s="631"/>
      <c r="R51" s="631"/>
      <c r="S51" s="631"/>
      <c r="T51" s="631"/>
      <c r="U51" s="631"/>
      <c r="V51" s="631"/>
      <c r="W51" s="631"/>
      <c r="X51" s="631"/>
    </row>
    <row r="52" spans="1:27" x14ac:dyDescent="0.3">
      <c r="C52" s="631"/>
      <c r="D52" s="631"/>
      <c r="E52" s="631"/>
      <c r="F52" s="631"/>
      <c r="G52" s="631"/>
      <c r="H52" s="631"/>
      <c r="I52" s="631"/>
      <c r="J52" s="631"/>
      <c r="K52" s="631"/>
      <c r="L52" s="631"/>
      <c r="M52" s="631"/>
      <c r="N52" s="631"/>
      <c r="O52" s="631"/>
      <c r="P52" s="631"/>
      <c r="Q52" s="631"/>
      <c r="R52" s="631"/>
      <c r="S52" s="631"/>
      <c r="T52" s="631"/>
      <c r="U52" s="631"/>
      <c r="V52" s="631"/>
      <c r="W52" s="631"/>
      <c r="X52" s="631"/>
    </row>
    <row r="53" spans="1:27" x14ac:dyDescent="0.3">
      <c r="A53" s="188" t="s">
        <v>210</v>
      </c>
      <c r="B53" s="189" t="s">
        <v>179</v>
      </c>
      <c r="C53" s="184">
        <f>C3</f>
        <v>45328</v>
      </c>
      <c r="D53" s="184">
        <f>DATE(YEAR(C53), MONTH(C53)+1, DAY(C53))</f>
        <v>45357</v>
      </c>
      <c r="E53" s="184">
        <f t="shared" ref="E53:N53" si="119">DATE(YEAR(D53), MONTH(D53)+1, DAY(D53))</f>
        <v>45388</v>
      </c>
      <c r="F53" s="184">
        <f t="shared" si="119"/>
        <v>45418</v>
      </c>
      <c r="G53" s="184">
        <f t="shared" si="119"/>
        <v>45449</v>
      </c>
      <c r="H53" s="184">
        <f t="shared" si="119"/>
        <v>45479</v>
      </c>
      <c r="I53" s="184">
        <f t="shared" si="119"/>
        <v>45510</v>
      </c>
      <c r="J53" s="184">
        <f t="shared" si="119"/>
        <v>45541</v>
      </c>
      <c r="K53" s="184">
        <f t="shared" si="119"/>
        <v>45571</v>
      </c>
      <c r="L53" s="184">
        <f t="shared" si="119"/>
        <v>45602</v>
      </c>
      <c r="M53" s="184">
        <f t="shared" si="119"/>
        <v>45632</v>
      </c>
      <c r="N53" s="184">
        <f t="shared" si="119"/>
        <v>45663</v>
      </c>
      <c r="O53" s="184">
        <f t="shared" ref="O53" si="120">DATE(YEAR(N53), MONTH(N53)+1, DAY(N53))</f>
        <v>45694</v>
      </c>
      <c r="P53" s="184">
        <f t="shared" ref="P53" si="121">DATE(YEAR(O53), MONTH(O53)+1, DAY(O53))</f>
        <v>45722</v>
      </c>
      <c r="Q53" s="184">
        <f t="shared" ref="Q53" si="122">DATE(YEAR(P53), MONTH(P53)+1, DAY(P53))</f>
        <v>45753</v>
      </c>
      <c r="R53" s="184">
        <f t="shared" ref="R53" si="123">DATE(YEAR(Q53), MONTH(Q53)+1, DAY(Q53))</f>
        <v>45783</v>
      </c>
      <c r="S53" s="184">
        <f t="shared" ref="S53" si="124">DATE(YEAR(R53), MONTH(R53)+1, DAY(R53))</f>
        <v>45814</v>
      </c>
      <c r="T53" s="184">
        <f t="shared" ref="T53" si="125">DATE(YEAR(S53), MONTH(S53)+1, DAY(S53))</f>
        <v>45844</v>
      </c>
      <c r="U53" s="184">
        <f t="shared" ref="U53" si="126">DATE(YEAR(T53), MONTH(T53)+1, DAY(T53))</f>
        <v>45875</v>
      </c>
      <c r="V53" s="184">
        <f t="shared" ref="V53" si="127">DATE(YEAR(U53), MONTH(U53)+1, DAY(U53))</f>
        <v>45906</v>
      </c>
      <c r="W53" s="184">
        <f t="shared" ref="W53" si="128">DATE(YEAR(V53), MONTH(V53)+1, DAY(V53))</f>
        <v>45936</v>
      </c>
      <c r="X53" s="184">
        <f t="shared" ref="X53" si="129">DATE(YEAR(W53), MONTH(W53)+1, DAY(W53))</f>
        <v>45967</v>
      </c>
      <c r="Y53" s="184">
        <f t="shared" ref="Y53" si="130">DATE(YEAR(X53), MONTH(X53)+1, DAY(X53))</f>
        <v>45997</v>
      </c>
      <c r="Z53" s="184">
        <f t="shared" ref="Z53" si="131">DATE(YEAR(Y53), MONTH(Y53)+1, DAY(Y53))</f>
        <v>46028</v>
      </c>
      <c r="AA53" s="184">
        <f t="shared" ref="AA53" si="132">DATE(YEAR(Z53), MONTH(Z53)+1, DAY(Z53))</f>
        <v>46059</v>
      </c>
    </row>
    <row r="54" spans="1:27" x14ac:dyDescent="0.3">
      <c r="A54" s="174" t="s">
        <v>211</v>
      </c>
      <c r="B54" s="199" t="str">
        <f>HLOOKUP($C$1,$C$53:$AA$54,2,0)</f>
        <v>à prévoir les frais de déplacement de AHB (à facturer)</v>
      </c>
      <c r="C54" s="632" t="s">
        <v>96</v>
      </c>
      <c r="D54" s="650" t="str">
        <f>'Situation actuelle'!B10</f>
        <v>RAS</v>
      </c>
      <c r="E54" s="650" t="str">
        <f>'Situation actuelle'!C10</f>
        <v>RAS</v>
      </c>
      <c r="F54" s="650" t="str">
        <f>'Situation actuelle'!D10</f>
        <v>RAS</v>
      </c>
      <c r="G54" s="650" t="str">
        <f>'Situation actuelle'!E10</f>
        <v>RAS</v>
      </c>
      <c r="H54" s="650" t="str">
        <f>'Situation actuelle'!F10</f>
        <v>RAS</v>
      </c>
      <c r="I54" s="650" t="str">
        <f>'Situation actuelle'!G10</f>
        <v>RAS</v>
      </c>
      <c r="J54" s="650" t="str">
        <f>'Situation actuelle'!H10</f>
        <v>RAS</v>
      </c>
      <c r="K54" s="650" t="str">
        <f>'Situation actuelle'!I10</f>
        <v>RAS</v>
      </c>
      <c r="L54" s="650" t="str">
        <f>'Situation actuelle'!J10</f>
        <v>RAS</v>
      </c>
      <c r="M54" s="650" t="str">
        <f>'Situation actuelle'!K10</f>
        <v>RAS</v>
      </c>
      <c r="N54" s="650" t="str">
        <f>'Situation actuelle'!L10</f>
        <v>RAS</v>
      </c>
      <c r="O54" s="650" t="str">
        <f>'Situation actuelle'!M10</f>
        <v>RAS</v>
      </c>
      <c r="P54" s="650" t="str">
        <f>'Situation actuelle'!N10</f>
        <v>RAS</v>
      </c>
      <c r="Q54" s="650" t="str">
        <f>'Situation actuelle'!O10</f>
        <v>RAS</v>
      </c>
      <c r="R54" s="650" t="str">
        <f>'Situation actuelle'!P10</f>
        <v>RAS</v>
      </c>
      <c r="S54" s="650" t="str">
        <f>'Situation actuelle'!Q10</f>
        <v>RAS</v>
      </c>
      <c r="T54" s="650" t="str">
        <f>'Situation actuelle'!R10</f>
        <v>RAS</v>
      </c>
      <c r="U54" s="650" t="str">
        <f>'Situation actuelle'!S10</f>
        <v>RAS</v>
      </c>
      <c r="V54" s="650" t="str">
        <f>'Situation actuelle'!T10</f>
        <v>RAS</v>
      </c>
      <c r="W54" s="650" t="str">
        <f>'Situation actuelle'!U10</f>
        <v>RAS</v>
      </c>
      <c r="X54" s="650" t="str">
        <f>'Situation actuelle'!V10</f>
        <v>RAS</v>
      </c>
      <c r="Y54" s="196" t="s">
        <v>212</v>
      </c>
      <c r="Z54" s="196" t="s">
        <v>212</v>
      </c>
      <c r="AA54" s="196" t="s">
        <v>212</v>
      </c>
    </row>
  </sheetData>
  <conditionalFormatting sqref="C50:AA50">
    <cfRule type="cellIs" dxfId="2" priority="1" operator="greaterThan">
      <formula>0</formula>
    </cfRule>
  </conditionalFormatting>
  <dataValidations count="2">
    <dataValidation allowBlank="1" showInputMessage="1" showErrorMessage="1" prompt="A déduire depuis l’avancement des tâches élémentaires du projet (à extraire depuis l'avancement du planning du projet) ou à estimer par le chef du projet (méthode d'estimation à l'appui)" sqref="A14" xr:uid="{E00CF91B-420E-473D-989E-11B90946C0F7}"/>
    <dataValidation allowBlank="1" showInputMessage="1" showErrorMessage="1" prompt="Mesure la part des éléments livrés par rapport à ce qui était planifié; Voir sheet 'Livrables projet&quot;" sqref="A15" xr:uid="{B350490A-D8B7-4422-807E-0BC9AE3B023F}"/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73AE-F7C9-4DE4-BF58-D47803436F8F}">
  <sheetPr>
    <tabColor rgb="FFFF0000"/>
  </sheetPr>
  <dimension ref="A1:AE53"/>
  <sheetViews>
    <sheetView showGridLines="0" topLeftCell="A15" zoomScale="76" zoomScaleNormal="70" workbookViewId="0">
      <selection activeCell="L18" sqref="L18"/>
    </sheetView>
  </sheetViews>
  <sheetFormatPr defaultColWidth="10.6640625" defaultRowHeight="14.4" x14ac:dyDescent="0.3"/>
  <cols>
    <col min="1" max="1" width="5.6640625" style="33" customWidth="1"/>
    <col min="2" max="2" width="1.109375" style="33" customWidth="1"/>
    <col min="3" max="3" width="44.6640625" style="33" customWidth="1"/>
    <col min="4" max="4" width="2.6640625" style="33" customWidth="1"/>
    <col min="5" max="5" width="24.44140625" style="33" bestFit="1" customWidth="1"/>
    <col min="6" max="6" width="6.109375" style="33" customWidth="1"/>
    <col min="7" max="7" width="19.109375" style="33" customWidth="1"/>
    <col min="8" max="8" width="23.44140625" style="33" bestFit="1" customWidth="1"/>
    <col min="9" max="9" width="18" style="33" customWidth="1"/>
    <col min="10" max="10" width="2.6640625" style="33" customWidth="1"/>
    <col min="11" max="11" width="21.44140625" style="33" customWidth="1"/>
    <col min="12" max="12" width="17" style="33" bestFit="1" customWidth="1"/>
    <col min="13" max="13" width="3.6640625" style="33" customWidth="1"/>
    <col min="14" max="14" width="3.44140625" style="33" customWidth="1"/>
    <col min="15" max="15" width="32.109375" style="33" customWidth="1"/>
    <col min="16" max="16" width="9" style="33" customWidth="1"/>
    <col min="17" max="17" width="3.33203125" style="33" customWidth="1"/>
    <col min="18" max="18" width="20.33203125" style="33" customWidth="1"/>
    <col min="19" max="19" width="52.33203125" style="33" customWidth="1"/>
    <col min="20" max="20" width="5.6640625" style="33" customWidth="1"/>
    <col min="21" max="21" width="16.6640625" style="33" customWidth="1"/>
    <col min="22" max="22" width="32.109375" style="33" customWidth="1"/>
    <col min="23" max="23" width="26.33203125" style="33" customWidth="1"/>
    <col min="24" max="25" width="28.6640625" style="33" customWidth="1"/>
    <col min="26" max="26" width="16.44140625" style="33" customWidth="1"/>
    <col min="27" max="27" width="19.44140625" style="33" customWidth="1"/>
    <col min="28" max="28" width="28.6640625" style="33" customWidth="1"/>
    <col min="29" max="29" width="22" style="33" customWidth="1"/>
    <col min="30" max="30" width="16.6640625" style="33" customWidth="1"/>
    <col min="31" max="31" width="48" style="33" customWidth="1"/>
    <col min="32" max="32" width="20.44140625" style="33" customWidth="1"/>
    <col min="33" max="33" width="20.6640625" style="33" customWidth="1"/>
    <col min="34" max="43" width="10.6640625" style="33"/>
    <col min="44" max="44" width="18.44140625" style="33" customWidth="1"/>
    <col min="45" max="16384" width="10.6640625" style="33"/>
  </cols>
  <sheetData>
    <row r="1" spans="1:31" ht="4.2" customHeight="1" x14ac:dyDescent="0.3"/>
    <row r="2" spans="1:31" ht="10.199999999999999" customHeight="1" x14ac:dyDescent="0.3"/>
    <row r="3" spans="1:31" s="34" customFormat="1" ht="4.2" customHeight="1" x14ac:dyDescent="0.3">
      <c r="Q3" s="33"/>
      <c r="R3" s="35"/>
    </row>
    <row r="4" spans="1:31" ht="46.2" customHeight="1" x14ac:dyDescent="0.3">
      <c r="A4" s="36"/>
      <c r="B4" s="37" t="s">
        <v>109</v>
      </c>
      <c r="C4" s="717">
        <f>C22</f>
        <v>45997</v>
      </c>
      <c r="D4" s="717"/>
      <c r="E4" s="717"/>
      <c r="F4" s="717"/>
      <c r="G4" s="717"/>
      <c r="H4" s="717"/>
      <c r="I4" s="717"/>
      <c r="J4" s="717"/>
      <c r="K4" s="717"/>
      <c r="L4" s="717"/>
      <c r="M4" s="717"/>
      <c r="N4" s="717"/>
      <c r="O4" s="717"/>
      <c r="P4" s="717"/>
      <c r="Q4" s="208"/>
      <c r="R4" s="208"/>
      <c r="T4" s="36"/>
      <c r="U4" s="190" t="s">
        <v>110</v>
      </c>
    </row>
    <row r="5" spans="1:31" ht="7.2" customHeight="1" thickBot="1" x14ac:dyDescent="0.35"/>
    <row r="6" spans="1:31" ht="18.600000000000001" thickBot="1" x14ac:dyDescent="0.4">
      <c r="A6" s="38"/>
      <c r="C6" s="39" t="s">
        <v>111</v>
      </c>
      <c r="D6" s="40"/>
      <c r="E6" s="38"/>
      <c r="F6" s="38"/>
      <c r="G6" s="38"/>
      <c r="H6" s="38"/>
      <c r="I6" s="38"/>
      <c r="K6" s="41"/>
      <c r="L6" s="42"/>
      <c r="N6" s="58"/>
      <c r="O6" s="58"/>
      <c r="P6" s="58"/>
      <c r="Q6" s="57"/>
      <c r="R6" s="60" t="s">
        <v>112</v>
      </c>
      <c r="T6" s="38"/>
    </row>
    <row r="7" spans="1:31" ht="40.5" customHeight="1" thickBot="1" x14ac:dyDescent="0.45">
      <c r="A7" s="38"/>
      <c r="C7" s="80" t="str">
        <f>'Fiche identification'!B2</f>
        <v>A24001 - PFS_AIE</v>
      </c>
      <c r="E7" s="38"/>
      <c r="F7" s="38"/>
      <c r="G7" s="38"/>
      <c r="H7" s="38"/>
      <c r="I7" s="38"/>
      <c r="K7" s="43"/>
      <c r="L7" s="44"/>
      <c r="N7" s="58"/>
      <c r="O7" s="58"/>
      <c r="P7" s="58"/>
      <c r="Q7" s="57"/>
      <c r="T7" s="38"/>
      <c r="AE7" s="60" t="s">
        <v>113</v>
      </c>
    </row>
    <row r="8" spans="1:31" ht="7.2" customHeight="1" x14ac:dyDescent="0.35">
      <c r="A8" s="38"/>
      <c r="E8" s="38"/>
      <c r="F8" s="38"/>
      <c r="G8" s="38"/>
      <c r="H8" s="38"/>
      <c r="I8" s="38"/>
      <c r="K8" s="43"/>
      <c r="L8" s="44"/>
      <c r="N8" s="58"/>
      <c r="O8" s="58"/>
      <c r="P8" s="58"/>
      <c r="Q8" s="57"/>
      <c r="T8" s="38"/>
    </row>
    <row r="9" spans="1:31" ht="18" x14ac:dyDescent="0.35">
      <c r="A9" s="38"/>
      <c r="C9" s="39" t="s">
        <v>114</v>
      </c>
      <c r="E9" s="38"/>
      <c r="F9" s="38"/>
      <c r="G9" s="38"/>
      <c r="H9" s="38"/>
      <c r="I9" s="38"/>
      <c r="K9" s="43"/>
      <c r="L9" s="44"/>
      <c r="N9" s="58"/>
      <c r="O9" s="58"/>
      <c r="P9" s="58"/>
      <c r="Q9" s="57"/>
      <c r="T9" s="38"/>
    </row>
    <row r="10" spans="1:31" ht="58.5" customHeight="1" x14ac:dyDescent="0.55000000000000004">
      <c r="A10" s="38"/>
      <c r="C10" s="120" t="str">
        <f>'Fiche identification'!B5</f>
        <v>Mise à jour technologique et mise à niveau du SIG-I pour integrer les besoins du projet Filets Sociaux adaptatifs et d'Inclusion Economique</v>
      </c>
      <c r="E10" s="45" t="s">
        <v>115</v>
      </c>
      <c r="F10" s="46"/>
      <c r="G10" s="45" t="s">
        <v>116</v>
      </c>
      <c r="H10" s="46"/>
      <c r="I10" s="45" t="s">
        <v>117</v>
      </c>
      <c r="K10" s="718" t="s">
        <v>118</v>
      </c>
      <c r="L10" s="719"/>
      <c r="N10" s="58"/>
      <c r="O10" s="201" t="s">
        <v>119</v>
      </c>
      <c r="P10" s="58"/>
      <c r="Q10" s="57"/>
      <c r="T10" s="38"/>
    </row>
    <row r="11" spans="1:31" ht="25.8" x14ac:dyDescent="0.5">
      <c r="A11" s="38"/>
      <c r="E11" s="106">
        <f>Statistiques!B7</f>
        <v>1269861.4643999999</v>
      </c>
      <c r="F11" s="46"/>
      <c r="G11" s="107">
        <f>Statistiques!C3</f>
        <v>45328</v>
      </c>
      <c r="H11" s="46"/>
      <c r="I11" s="107">
        <f>Statistiques!B8</f>
        <v>46058</v>
      </c>
      <c r="K11" s="47"/>
      <c r="L11" s="48"/>
      <c r="N11" s="58"/>
      <c r="O11" s="204" t="e">
        <f>Statistiques!B39</f>
        <v>#REF!</v>
      </c>
      <c r="P11" s="58"/>
      <c r="Q11" s="57"/>
      <c r="T11" s="38"/>
    </row>
    <row r="12" spans="1:31" ht="21.6" thickBot="1" x14ac:dyDescent="0.45">
      <c r="A12" s="38"/>
      <c r="C12" s="39" t="s">
        <v>25</v>
      </c>
      <c r="E12" s="49"/>
      <c r="F12" s="49"/>
      <c r="G12" s="49"/>
      <c r="H12" s="49"/>
      <c r="I12" s="49"/>
      <c r="K12" s="212" t="s">
        <v>120</v>
      </c>
      <c r="L12" s="210" t="e">
        <f>Statistiques!B45</f>
        <v>#REF!</v>
      </c>
      <c r="N12" s="58"/>
      <c r="O12" s="59" t="e">
        <f>Statistiques!B36</f>
        <v>#REF!</v>
      </c>
      <c r="P12" s="58"/>
      <c r="Q12" s="57"/>
      <c r="T12" s="38"/>
    </row>
    <row r="13" spans="1:31" ht="30" customHeight="1" thickBot="1" x14ac:dyDescent="0.4">
      <c r="A13" s="38"/>
      <c r="C13" s="209" t="str">
        <f>'Fiche identification'!B4</f>
        <v>Projet Filets Sociaux Adaptatifs et Inclusion Economique</v>
      </c>
      <c r="E13" s="50" t="s">
        <v>121</v>
      </c>
      <c r="F13" s="723">
        <f>Statistiques!B13</f>
        <v>0.95622435020519836</v>
      </c>
      <c r="G13" s="724"/>
      <c r="H13" s="724"/>
      <c r="I13" s="725"/>
      <c r="K13" s="47"/>
      <c r="L13" s="48"/>
      <c r="N13" s="58"/>
      <c r="O13" s="58"/>
      <c r="P13" s="58"/>
      <c r="Q13" s="57"/>
      <c r="R13" s="60" t="s">
        <v>122</v>
      </c>
      <c r="T13" s="38"/>
    </row>
    <row r="14" spans="1:31" ht="19.2" customHeight="1" x14ac:dyDescent="0.35">
      <c r="A14" s="38"/>
      <c r="E14" s="49"/>
      <c r="F14" s="49"/>
      <c r="G14" s="51"/>
      <c r="H14" s="65" t="s">
        <v>123</v>
      </c>
      <c r="I14" s="66">
        <f>(I11-C22+1-30)/30</f>
        <v>1.0666666666666667</v>
      </c>
      <c r="K14" s="47"/>
      <c r="L14" s="48"/>
      <c r="N14" s="58"/>
      <c r="O14" s="58"/>
      <c r="P14" s="58"/>
      <c r="Q14" s="57"/>
      <c r="T14" s="38"/>
    </row>
    <row r="15" spans="1:31" ht="21.6" thickBot="1" x14ac:dyDescent="0.45">
      <c r="A15" s="38"/>
      <c r="C15" s="105" t="s">
        <v>124</v>
      </c>
      <c r="E15" s="49"/>
      <c r="F15" s="49"/>
      <c r="G15" s="49"/>
      <c r="H15" s="49"/>
      <c r="I15" s="49"/>
      <c r="K15" s="212" t="s">
        <v>125</v>
      </c>
      <c r="L15" s="210">
        <f>Statistiques!B47</f>
        <v>2199.1</v>
      </c>
      <c r="N15" s="58"/>
      <c r="O15" s="58"/>
      <c r="P15" s="58"/>
      <c r="Q15" s="57"/>
      <c r="T15" s="38"/>
    </row>
    <row r="16" spans="1:31" ht="30" customHeight="1" thickBot="1" x14ac:dyDescent="0.45">
      <c r="A16" s="38"/>
      <c r="C16" s="218">
        <f>Statistiques!B8-Statistiques!C3+1</f>
        <v>731</v>
      </c>
      <c r="E16" s="117" t="s">
        <v>126</v>
      </c>
      <c r="F16" s="726">
        <f>Statistiques!B14</f>
        <v>0.99</v>
      </c>
      <c r="G16" s="727"/>
      <c r="H16" s="727"/>
      <c r="I16" s="728"/>
      <c r="K16" s="47"/>
      <c r="L16" s="48"/>
      <c r="N16" s="58"/>
      <c r="O16" s="58"/>
      <c r="P16" s="58"/>
      <c r="Q16" s="57"/>
      <c r="R16" s="60" t="s">
        <v>127</v>
      </c>
      <c r="T16" s="38"/>
    </row>
    <row r="17" spans="1:20" ht="19.2" customHeight="1" x14ac:dyDescent="0.45">
      <c r="A17" s="38"/>
      <c r="E17" s="49"/>
      <c r="F17" s="49"/>
      <c r="G17" s="51"/>
      <c r="H17" s="65"/>
      <c r="I17" s="66"/>
      <c r="K17" s="47"/>
      <c r="L17" s="48"/>
      <c r="N17" s="58"/>
      <c r="O17" s="202" t="s">
        <v>128</v>
      </c>
      <c r="P17" s="58"/>
      <c r="Q17" s="57"/>
      <c r="T17" s="38"/>
    </row>
    <row r="18" spans="1:20" ht="26.4" thickBot="1" x14ac:dyDescent="0.55000000000000004">
      <c r="A18" s="38"/>
      <c r="C18" s="39" t="s">
        <v>129</v>
      </c>
      <c r="E18" s="49"/>
      <c r="F18" s="52"/>
      <c r="G18" s="49"/>
      <c r="H18" s="49"/>
      <c r="I18" s="49"/>
      <c r="K18" s="212" t="s">
        <v>130</v>
      </c>
      <c r="L18" s="210">
        <f>Statistiques!B48</f>
        <v>12</v>
      </c>
      <c r="N18" s="58"/>
      <c r="O18" s="205" t="e">
        <f>Statistiques!B40</f>
        <v>#REF!</v>
      </c>
      <c r="P18" s="58"/>
      <c r="Q18" s="57"/>
      <c r="T18" s="38"/>
    </row>
    <row r="19" spans="1:20" ht="30" customHeight="1" thickBot="1" x14ac:dyDescent="0.4">
      <c r="A19" s="38"/>
      <c r="C19" s="119" t="str">
        <f>'Fiche identification'!B10</f>
        <v>Ahmed Amine Amiri</v>
      </c>
      <c r="E19" s="53" t="s">
        <v>131</v>
      </c>
      <c r="F19" s="729">
        <f>Statistiques!B15</f>
        <v>0.96296296296296291</v>
      </c>
      <c r="G19" s="730"/>
      <c r="H19" s="730"/>
      <c r="I19" s="731"/>
      <c r="K19" s="47"/>
      <c r="L19" s="48"/>
      <c r="N19" s="58"/>
      <c r="O19" s="59" t="e">
        <f>Statistiques!B37</f>
        <v>#REF!</v>
      </c>
      <c r="P19" s="58"/>
      <c r="Q19" s="57"/>
      <c r="R19" s="60" t="s">
        <v>132</v>
      </c>
      <c r="T19" s="38"/>
    </row>
    <row r="20" spans="1:20" ht="25.95" customHeight="1" x14ac:dyDescent="0.4">
      <c r="A20" s="38"/>
      <c r="E20" s="49"/>
      <c r="F20" s="49"/>
      <c r="G20" s="51"/>
      <c r="H20" s="65"/>
      <c r="I20" s="66"/>
      <c r="K20" s="212" t="s">
        <v>133</v>
      </c>
      <c r="L20" s="211" t="e">
        <f>Statistiques!B50</f>
        <v>#REF!</v>
      </c>
      <c r="N20" s="58"/>
      <c r="O20" s="58"/>
      <c r="P20" s="58"/>
      <c r="Q20" s="57"/>
      <c r="T20" s="38"/>
    </row>
    <row r="21" spans="1:20" ht="18" x14ac:dyDescent="0.35">
      <c r="A21" s="38"/>
      <c r="C21" s="39" t="s">
        <v>134</v>
      </c>
      <c r="E21" s="49"/>
      <c r="F21" s="52"/>
      <c r="G21" s="49"/>
      <c r="H21" s="49"/>
      <c r="I21" s="49"/>
      <c r="K21" s="47"/>
      <c r="L21" s="48"/>
      <c r="N21" s="58"/>
      <c r="O21" s="58"/>
      <c r="P21" s="58"/>
      <c r="Q21" s="57"/>
      <c r="T21" s="38"/>
    </row>
    <row r="22" spans="1:20" ht="28.8" x14ac:dyDescent="0.45">
      <c r="A22" s="38"/>
      <c r="C22" s="183">
        <v>45997</v>
      </c>
      <c r="E22" s="54" t="s">
        <v>135</v>
      </c>
      <c r="F22" s="732" t="e">
        <f>Statistiques!B16</f>
        <v>#REF!</v>
      </c>
      <c r="G22" s="733"/>
      <c r="H22" s="733"/>
      <c r="I22" s="734"/>
      <c r="K22" s="43"/>
      <c r="L22" s="44"/>
      <c r="N22" s="58"/>
      <c r="O22" s="58"/>
      <c r="P22" s="58"/>
      <c r="Q22" s="57"/>
      <c r="T22" s="38"/>
    </row>
    <row r="23" spans="1:20" ht="30" customHeight="1" x14ac:dyDescent="0.35">
      <c r="A23" s="38"/>
      <c r="E23" s="49"/>
      <c r="F23" s="49"/>
      <c r="G23" s="51"/>
      <c r="H23" s="65"/>
      <c r="I23" s="66"/>
      <c r="K23" s="43"/>
      <c r="L23" s="44"/>
      <c r="N23" s="58"/>
      <c r="O23" s="58"/>
      <c r="P23" s="58"/>
      <c r="Q23" s="57"/>
      <c r="T23" s="38"/>
    </row>
    <row r="24" spans="1:20" ht="33" customHeight="1" x14ac:dyDescent="0.35">
      <c r="A24" s="38"/>
      <c r="C24" s="39"/>
      <c r="E24" s="118" t="s">
        <v>136</v>
      </c>
      <c r="F24" s="720">
        <f>Statistiques!B9</f>
        <v>46058</v>
      </c>
      <c r="G24" s="721"/>
      <c r="H24" s="721"/>
      <c r="I24" s="722"/>
      <c r="K24" s="718" t="s">
        <v>137</v>
      </c>
      <c r="L24" s="719"/>
      <c r="N24" s="58"/>
      <c r="O24" s="58"/>
      <c r="P24" s="58"/>
      <c r="Q24" s="57"/>
      <c r="T24" s="38"/>
    </row>
    <row r="25" spans="1:20" ht="19.2" customHeight="1" x14ac:dyDescent="0.45">
      <c r="A25" s="38"/>
      <c r="C25" s="39" t="s">
        <v>138</v>
      </c>
      <c r="E25" s="49"/>
      <c r="F25" s="49"/>
      <c r="G25" s="51"/>
      <c r="H25" s="65" t="s">
        <v>139</v>
      </c>
      <c r="I25" s="66">
        <f>(F24-I11)/30</f>
        <v>0</v>
      </c>
      <c r="K25" s="718"/>
      <c r="L25" s="719"/>
      <c r="N25" s="58"/>
      <c r="O25" s="203" t="s">
        <v>140</v>
      </c>
      <c r="P25" s="58"/>
      <c r="Q25" s="57"/>
      <c r="T25" s="38"/>
    </row>
    <row r="26" spans="1:20" ht="25.8" x14ac:dyDescent="0.5">
      <c r="A26" s="38"/>
      <c r="C26" s="207"/>
      <c r="E26" s="49"/>
      <c r="F26" s="49"/>
      <c r="G26" s="49"/>
      <c r="H26" s="49"/>
      <c r="I26" s="49"/>
      <c r="K26" s="47"/>
      <c r="L26" s="48"/>
      <c r="N26" s="58"/>
      <c r="O26" s="206" t="e">
        <f>Statistiques!B41</f>
        <v>#REF!</v>
      </c>
      <c r="P26" s="58"/>
      <c r="Q26" s="57"/>
      <c r="T26" s="38"/>
    </row>
    <row r="27" spans="1:20" ht="21" x14ac:dyDescent="0.4">
      <c r="A27" s="38"/>
      <c r="C27" s="708" t="str">
        <f>Statistiques!B54</f>
        <v>à prévoir les frais de déplacement de AHB (à facturer)</v>
      </c>
      <c r="D27" s="709"/>
      <c r="E27" s="709"/>
      <c r="F27" s="709"/>
      <c r="G27" s="710"/>
      <c r="H27" s="576" t="s">
        <v>141</v>
      </c>
      <c r="I27" s="577" t="e">
        <f>Statistiques!B27</f>
        <v>#REF!</v>
      </c>
      <c r="K27" s="212" t="s">
        <v>142</v>
      </c>
      <c r="L27" s="213" t="e">
        <f>Statistiques!B20</f>
        <v>#REF!</v>
      </c>
      <c r="N27" s="58"/>
      <c r="O27" s="59" t="e">
        <f>Statistiques!B38</f>
        <v>#REF!</v>
      </c>
      <c r="P27" s="58"/>
      <c r="Q27" s="57"/>
      <c r="T27" s="38"/>
    </row>
    <row r="28" spans="1:20" ht="21" x14ac:dyDescent="0.4">
      <c r="A28" s="38"/>
      <c r="C28" s="711"/>
      <c r="D28" s="712"/>
      <c r="E28" s="712"/>
      <c r="F28" s="712"/>
      <c r="G28" s="713"/>
      <c r="H28" s="214"/>
      <c r="I28" s="578"/>
      <c r="K28" s="214"/>
      <c r="L28" s="215"/>
      <c r="N28" s="58"/>
      <c r="O28" s="58"/>
      <c r="P28" s="58"/>
      <c r="Q28" s="57"/>
      <c r="T28" s="38"/>
    </row>
    <row r="29" spans="1:20" ht="21" x14ac:dyDescent="0.4">
      <c r="A29" s="38"/>
      <c r="C29" s="711"/>
      <c r="D29" s="712"/>
      <c r="E29" s="712"/>
      <c r="F29" s="712"/>
      <c r="G29" s="713"/>
      <c r="H29" s="212" t="s">
        <v>143</v>
      </c>
      <c r="I29" s="213">
        <f>Statistiques!B30</f>
        <v>667507.88197385892</v>
      </c>
      <c r="J29" s="55"/>
      <c r="K29" s="212" t="s">
        <v>144</v>
      </c>
      <c r="L29" s="213" t="e">
        <f>Statistiques!B22</f>
        <v>#REF!</v>
      </c>
      <c r="N29" s="58"/>
      <c r="O29" s="58"/>
      <c r="P29" s="58"/>
      <c r="Q29" s="57"/>
      <c r="T29" s="38"/>
    </row>
    <row r="30" spans="1:20" s="57" customFormat="1" ht="21" x14ac:dyDescent="0.4">
      <c r="A30" s="56"/>
      <c r="C30" s="711"/>
      <c r="D30" s="712"/>
      <c r="E30" s="712"/>
      <c r="F30" s="712"/>
      <c r="G30" s="713"/>
      <c r="H30" s="214"/>
      <c r="I30" s="578"/>
      <c r="K30" s="214"/>
      <c r="L30" s="215"/>
      <c r="N30" s="58"/>
      <c r="O30" s="58"/>
      <c r="P30" s="58"/>
      <c r="T30" s="56"/>
    </row>
    <row r="31" spans="1:20" ht="21" x14ac:dyDescent="0.4">
      <c r="A31" s="38"/>
      <c r="C31" s="714"/>
      <c r="D31" s="715"/>
      <c r="E31" s="715"/>
      <c r="F31" s="715"/>
      <c r="G31" s="716"/>
      <c r="H31" s="216" t="s">
        <v>145</v>
      </c>
      <c r="I31" s="217" t="e">
        <f>Statistiques!B31</f>
        <v>#REF!</v>
      </c>
      <c r="K31" s="216" t="s">
        <v>146</v>
      </c>
      <c r="L31" s="217" t="e">
        <f>Statistiques!B23</f>
        <v>#REF!</v>
      </c>
      <c r="N31" s="58"/>
      <c r="O31" s="58"/>
      <c r="P31" s="58"/>
      <c r="Q31" s="57"/>
      <c r="T31" s="38"/>
    </row>
    <row r="33" spans="7:31" ht="53.25" customHeight="1" x14ac:dyDescent="0.3">
      <c r="G33" s="198"/>
      <c r="L33" s="472"/>
      <c r="U33" s="414" t="s">
        <v>147</v>
      </c>
      <c r="V33" s="415" t="s">
        <v>148</v>
      </c>
      <c r="W33" s="415" t="s">
        <v>103</v>
      </c>
      <c r="X33" s="415" t="s">
        <v>102</v>
      </c>
      <c r="Y33" s="415" t="s">
        <v>149</v>
      </c>
      <c r="Z33" s="415" t="s">
        <v>150</v>
      </c>
      <c r="AA33" s="415" t="s">
        <v>151</v>
      </c>
      <c r="AB33" s="415" t="s">
        <v>152</v>
      </c>
      <c r="AC33" s="415" t="s">
        <v>153</v>
      </c>
      <c r="AD33" s="415" t="s">
        <v>133</v>
      </c>
      <c r="AE33" s="416" t="s">
        <v>154</v>
      </c>
    </row>
    <row r="34" spans="7:31" s="501" customFormat="1" ht="23.4" x14ac:dyDescent="0.3">
      <c r="L34" s="502"/>
      <c r="U34" s="503" t="s">
        <v>155</v>
      </c>
      <c r="V34" s="504" t="s">
        <v>156</v>
      </c>
      <c r="W34" s="505">
        <v>0.1</v>
      </c>
      <c r="X34" s="506">
        <v>118438</v>
      </c>
      <c r="Y34" s="506">
        <f>'Recap Facturation'!I2-Tableau1[[#This Row],[Montant]]</f>
        <v>1151423.4643999999</v>
      </c>
      <c r="Z34" s="504" t="s">
        <v>157</v>
      </c>
      <c r="AA34" s="507">
        <v>45367</v>
      </c>
      <c r="AB34" s="507">
        <v>45367</v>
      </c>
      <c r="AC34" s="507">
        <v>45365</v>
      </c>
      <c r="AD34" s="508">
        <f ca="1">IF(ISBLANK(Tableau1[[#This Row],[Date réelle]]),IF(TODAY()&gt;AA34,AA34-TODAY()+1,0),Tableau1[[#This Row],[Date initiale]]-Tableau1[[#This Row],[Date réelle]]+1)</f>
        <v>3</v>
      </c>
      <c r="AE34" s="509"/>
    </row>
    <row r="35" spans="7:31" ht="23.4" x14ac:dyDescent="0.3">
      <c r="U35" s="483" t="s">
        <v>158</v>
      </c>
      <c r="V35" s="484" t="s">
        <v>159</v>
      </c>
      <c r="W35" s="485">
        <v>0.16</v>
      </c>
      <c r="X35" s="486">
        <v>188981</v>
      </c>
      <c r="Y35" s="486">
        <f>Y34-Tableau1[[#This Row],[Montant]]</f>
        <v>962442.46439999994</v>
      </c>
      <c r="Z35" s="484" t="s">
        <v>157</v>
      </c>
      <c r="AA35" s="487">
        <v>45459</v>
      </c>
      <c r="AB35" s="487">
        <v>45459</v>
      </c>
      <c r="AC35" s="487">
        <v>45496</v>
      </c>
      <c r="AD35" s="488">
        <f ca="1">IF(ISBLANK(Tableau1[[#This Row],[Date réelle]]),IF(TODAY()&gt;AA35,AA35-TODAY()+1,0),Tableau1[[#This Row],[Date initiale]]-Tableau1[[#This Row],[Date réelle]]+1)</f>
        <v>-36</v>
      </c>
      <c r="AE35" s="489"/>
    </row>
    <row r="36" spans="7:31" ht="23.4" x14ac:dyDescent="0.3">
      <c r="U36" s="483" t="s">
        <v>160</v>
      </c>
      <c r="V36" s="484" t="s">
        <v>161</v>
      </c>
      <c r="W36" s="485">
        <v>0.16</v>
      </c>
      <c r="X36" s="486">
        <v>190080</v>
      </c>
      <c r="Y36" s="486">
        <f>Y35-Tableau1[[#This Row],[Montant]]</f>
        <v>772362.46439999994</v>
      </c>
      <c r="Z36" s="484" t="s">
        <v>157</v>
      </c>
      <c r="AA36" s="487">
        <v>45520</v>
      </c>
      <c r="AB36" s="487">
        <v>45565</v>
      </c>
      <c r="AC36" s="487">
        <v>45565</v>
      </c>
      <c r="AD36" s="488">
        <f ca="1">IF(ISBLANK(Tableau1[[#This Row],[Date réelle]]),IF(TODAY()&gt;AA36,AA36-TODAY()+1,0),Tableau1[[#This Row],[Date initiale]]-Tableau1[[#This Row],[Date réelle]]+1)</f>
        <v>-44</v>
      </c>
      <c r="AE36" s="489"/>
    </row>
    <row r="37" spans="7:31" ht="23.4" x14ac:dyDescent="0.3">
      <c r="U37" s="483" t="s">
        <v>162</v>
      </c>
      <c r="V37" s="484" t="s">
        <v>163</v>
      </c>
      <c r="W37" s="485">
        <v>0.16</v>
      </c>
      <c r="X37" s="486">
        <v>187791.34899999999</v>
      </c>
      <c r="Y37" s="486">
        <f>Y36-Tableau1[[#This Row],[Montant]]</f>
        <v>584571.11540000001</v>
      </c>
      <c r="Z37" s="484" t="s">
        <v>157</v>
      </c>
      <c r="AA37" s="487">
        <v>45581</v>
      </c>
      <c r="AB37" s="487">
        <v>45590</v>
      </c>
      <c r="AC37" s="487">
        <v>45593</v>
      </c>
      <c r="AD37" s="488">
        <f ca="1">IF(ISBLANK(Tableau1[[#This Row],[Date réelle]]),IF(TODAY()&gt;AA37,AA37-TODAY()+1,0),Tableau1[[#This Row],[Date initiale]]-Tableau1[[#This Row],[Date réelle]]+1)</f>
        <v>-11</v>
      </c>
      <c r="AE37" s="489"/>
    </row>
    <row r="38" spans="7:31" ht="23.4" x14ac:dyDescent="0.3">
      <c r="U38" s="516" t="s">
        <v>164</v>
      </c>
      <c r="V38" s="517" t="s">
        <v>165</v>
      </c>
      <c r="W38" s="518">
        <v>0.16</v>
      </c>
      <c r="X38" s="519">
        <v>187430.48032000003</v>
      </c>
      <c r="Y38" s="486">
        <f>Y37-Tableau1[[#This Row],[Montant]]</f>
        <v>397140.63507999998</v>
      </c>
      <c r="Z38" s="517" t="s">
        <v>157</v>
      </c>
      <c r="AA38" s="520">
        <v>45642</v>
      </c>
      <c r="AB38" s="520">
        <v>45646</v>
      </c>
      <c r="AC38" s="520">
        <v>45657</v>
      </c>
      <c r="AD38" s="488">
        <f ca="1">IF(ISBLANK(Tableau1[[#This Row],[Date réelle]]),IF(TODAY()&gt;AA38,AA38-TODAY()+1,0),Tableau1[[#This Row],[Date initiale]]-Tableau1[[#This Row],[Date réelle]]+1)</f>
        <v>-14</v>
      </c>
      <c r="AE38" s="521"/>
    </row>
    <row r="39" spans="7:31" ht="23.4" x14ac:dyDescent="0.3">
      <c r="U39" s="422" t="s">
        <v>166</v>
      </c>
      <c r="V39" s="417" t="s">
        <v>167</v>
      </c>
      <c r="W39" s="418">
        <v>0.16</v>
      </c>
      <c r="X39" s="469">
        <v>187430.48032000003</v>
      </c>
      <c r="Y39" s="468">
        <f>Y38-Tableau1[[#This Row],[Montant]]</f>
        <v>209710.15475999995</v>
      </c>
      <c r="Z39" s="417"/>
      <c r="AA39" s="419">
        <v>45704</v>
      </c>
      <c r="AB39" s="419">
        <v>45763</v>
      </c>
      <c r="AC39" s="419"/>
      <c r="AD39" s="420">
        <f ca="1">IF(ISBLANK(Tableau1[[#This Row],[Date réelle]]),IF(TODAY()&gt;AA39,AA39-TODAY()+1,0),Tableau1[[#This Row],[Date initiale]]-Tableau1[[#This Row],[Date réelle]]+1)</f>
        <v>-481</v>
      </c>
      <c r="AE39" s="421"/>
    </row>
    <row r="40" spans="7:31" ht="23.4" x14ac:dyDescent="0.3">
      <c r="U40" s="422" t="s">
        <v>168</v>
      </c>
      <c r="V40" s="417" t="s">
        <v>169</v>
      </c>
      <c r="W40" s="418">
        <v>0.05</v>
      </c>
      <c r="X40" s="469">
        <v>58572.025100000006</v>
      </c>
      <c r="Y40" s="468">
        <f>Y39-Tableau1[[#This Row],[Montant]]</f>
        <v>151138.12965999995</v>
      </c>
      <c r="Z40" s="417"/>
      <c r="AA40" s="419">
        <v>45885</v>
      </c>
      <c r="AB40" s="419">
        <v>45885</v>
      </c>
      <c r="AC40" s="419"/>
      <c r="AD40" s="420">
        <f ca="1">IF(ISBLANK(Tableau1[[#This Row],[Date réelle]]),IF(TODAY()&gt;AA40,AA40-TODAY()+1,0),Tableau1[[#This Row],[Date initiale]]-Tableau1[[#This Row],[Date réelle]]+1)</f>
        <v>-300</v>
      </c>
      <c r="AE40" s="421"/>
    </row>
    <row r="41" spans="7:31" ht="23.4" x14ac:dyDescent="0.3">
      <c r="U41" s="422" t="s">
        <v>170</v>
      </c>
      <c r="V41" s="417" t="s">
        <v>171</v>
      </c>
      <c r="W41" s="418">
        <v>0.05</v>
      </c>
      <c r="X41" s="469">
        <v>58572.025100000006</v>
      </c>
      <c r="Y41" s="468">
        <f>Y40-Tableau1[[#This Row],[Montant]]</f>
        <v>92566.104559999949</v>
      </c>
      <c r="Z41" s="417"/>
      <c r="AA41" s="419">
        <v>46069</v>
      </c>
      <c r="AB41" s="419">
        <v>46069</v>
      </c>
      <c r="AC41" s="419"/>
      <c r="AD41" s="420">
        <f ca="1">IF(ISBLANK(Tableau1[[#This Row],[Date réelle]]),IF(TODAY()&gt;AA41,AA41-TODAY()+1,0),Tableau1[[#This Row],[Date initiale]]-Tableau1[[#This Row],[Date réelle]]+1)</f>
        <v>-116</v>
      </c>
      <c r="AE41" s="421"/>
    </row>
    <row r="45" spans="7:31" ht="46.8" x14ac:dyDescent="0.3">
      <c r="U45" s="475" t="s">
        <v>147</v>
      </c>
      <c r="V45" s="492" t="s">
        <v>152</v>
      </c>
      <c r="W45" s="475" t="s">
        <v>172</v>
      </c>
      <c r="X45" s="475" t="s">
        <v>173</v>
      </c>
    </row>
    <row r="46" spans="7:31" ht="23.4" x14ac:dyDescent="0.3">
      <c r="U46" s="493" t="s">
        <v>155</v>
      </c>
      <c r="V46" s="491">
        <v>45367</v>
      </c>
      <c r="W46" s="490">
        <f>'Recap Facturation'!$I$3*W34</f>
        <v>117144.05020000001</v>
      </c>
      <c r="X46" s="490">
        <v>118438</v>
      </c>
    </row>
    <row r="47" spans="7:31" ht="23.4" x14ac:dyDescent="0.3">
      <c r="U47" s="484" t="s">
        <v>158</v>
      </c>
      <c r="V47" s="487">
        <v>45459</v>
      </c>
      <c r="W47" s="490">
        <f>'Recap Facturation'!$I$3*W35</f>
        <v>187430.48032000003</v>
      </c>
      <c r="X47" s="486">
        <v>188981</v>
      </c>
    </row>
    <row r="48" spans="7:31" ht="23.4" x14ac:dyDescent="0.3">
      <c r="U48" s="493" t="s">
        <v>160</v>
      </c>
      <c r="V48" s="491">
        <v>45565</v>
      </c>
      <c r="W48" s="490">
        <f>'Recap Facturation'!$I$3*W36</f>
        <v>187430.48032000003</v>
      </c>
      <c r="X48" s="490">
        <v>190080</v>
      </c>
    </row>
    <row r="49" spans="21:24" ht="23.4" x14ac:dyDescent="0.3">
      <c r="U49" s="484" t="s">
        <v>162</v>
      </c>
      <c r="V49" s="487">
        <v>45590</v>
      </c>
      <c r="W49" s="490">
        <f>'Recap Facturation'!$I$3*W37</f>
        <v>187430.48032000003</v>
      </c>
      <c r="X49" s="486">
        <v>187791.34899999999</v>
      </c>
    </row>
    <row r="50" spans="21:24" ht="23.4" x14ac:dyDescent="0.3">
      <c r="U50" s="593" t="s">
        <v>164</v>
      </c>
      <c r="V50" s="594">
        <v>45646</v>
      </c>
      <c r="W50" s="595">
        <f>'Recap Facturation'!$I$3*W38</f>
        <v>187430.48032000003</v>
      </c>
      <c r="X50" s="595">
        <v>187430.48032000003</v>
      </c>
    </row>
    <row r="51" spans="21:24" ht="23.4" x14ac:dyDescent="0.3">
      <c r="U51" s="482" t="s">
        <v>166</v>
      </c>
      <c r="V51" s="480">
        <v>45704</v>
      </c>
      <c r="W51" s="479">
        <f>'Recap Facturation'!$I$3*W39</f>
        <v>187430.48032000003</v>
      </c>
      <c r="X51" s="479">
        <v>187430.48032000003</v>
      </c>
    </row>
    <row r="52" spans="21:24" ht="23.4" x14ac:dyDescent="0.3">
      <c r="U52" s="481" t="s">
        <v>168</v>
      </c>
      <c r="V52" s="477">
        <v>45885</v>
      </c>
      <c r="W52" s="476">
        <f>'Recap Facturation'!$I$3*W40</f>
        <v>58572.025100000006</v>
      </c>
      <c r="X52" s="476">
        <v>58572.025100000006</v>
      </c>
    </row>
    <row r="53" spans="21:24" ht="23.4" x14ac:dyDescent="0.3">
      <c r="U53" s="478" t="s">
        <v>170</v>
      </c>
      <c r="V53" s="480">
        <v>46069</v>
      </c>
      <c r="W53" s="479">
        <f>'Recap Facturation'!$I$3*W41</f>
        <v>58572.025100000006</v>
      </c>
      <c r="X53" s="479">
        <v>58572.025100000006</v>
      </c>
    </row>
  </sheetData>
  <mergeCells count="9">
    <mergeCell ref="C27:G31"/>
    <mergeCell ref="C4:P4"/>
    <mergeCell ref="K24:L25"/>
    <mergeCell ref="F24:I24"/>
    <mergeCell ref="K10:L10"/>
    <mergeCell ref="F13:I13"/>
    <mergeCell ref="F16:I16"/>
    <mergeCell ref="F19:I19"/>
    <mergeCell ref="F22:I22"/>
  </mergeCells>
  <phoneticPr fontId="10" type="noConversion"/>
  <conditionalFormatting sqref="F13">
    <cfRule type="dataBar" priority="9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{230F344A-3368-4196-9969-59AECE2C036D}</x14:id>
        </ext>
      </extLst>
    </cfRule>
  </conditionalFormatting>
  <conditionalFormatting sqref="F16">
    <cfRule type="dataBar" priority="8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{7BA500EA-5194-427F-9A64-4ED2E31D5BAC}</x14:id>
        </ext>
      </extLst>
    </cfRule>
  </conditionalFormatting>
  <conditionalFormatting sqref="F19">
    <cfRule type="dataBar" priority="7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{E79B8683-09EE-40ED-B761-EA5D6EC30606}</x14:id>
        </ext>
      </extLst>
    </cfRule>
  </conditionalFormatting>
  <conditionalFormatting sqref="F22">
    <cfRule type="dataBar" priority="6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{CD98C651-C1C5-4B35-977B-009A6B6C17FC}</x14:id>
        </ext>
      </extLst>
    </cfRule>
  </conditionalFormatting>
  <conditionalFormatting sqref="F24">
    <cfRule type="dataBar" priority="5">
      <dataBar>
        <cfvo type="num" val="0"/>
        <cfvo type="num" val="1"/>
        <color rgb="FF00FF00"/>
      </dataBar>
      <extLst>
        <ext xmlns:x14="http://schemas.microsoft.com/office/spreadsheetml/2009/9/main" uri="{B025F937-C7B1-47D3-B67F-A62EFF666E3E}">
          <x14:id>{7B13DBA4-F39D-4ABC-9DCE-E8905FAF7982}</x14:id>
        </ext>
      </extLst>
    </cfRule>
  </conditionalFormatting>
  <conditionalFormatting sqref="L20">
    <cfRule type="cellIs" dxfId="1" priority="1" operator="lessThan">
      <formula>0</formula>
    </cfRule>
    <cfRule type="cellIs" dxfId="0" priority="4" operator="greaterThan">
      <formula>0</formula>
    </cfRule>
  </conditionalFormatting>
  <conditionalFormatting sqref="AD34:AD41">
    <cfRule type="iconSet" priority="2">
      <iconSet>
        <cfvo type="percent" val="0"/>
        <cfvo type="num" val="0"/>
        <cfvo type="num" val="0"/>
      </iconSet>
    </cfRule>
  </conditionalFormatting>
  <hyperlinks>
    <hyperlink ref="R13" location="'S. Contractuelle'!A1" display="Mise à jour contrat" xr:uid="{29D50C3E-8F7F-4D61-9DF3-EADAD0A093F8}"/>
    <hyperlink ref="R16" location="'Situation actuelle'!A1" display="Mise à jour avancement" xr:uid="{DA7FF1A2-9F49-4E8B-9267-249E215DB0AF}"/>
    <hyperlink ref="R19" location="'Facturation 2'!A1" display="Mise à jour facturation" xr:uid="{DB88F380-82F6-44BB-A5CB-31F729DA4ED5}"/>
    <hyperlink ref="R6" location="Dashboard!AP20" display="Evolution KPIs" xr:uid="{C66CFBF6-B569-594E-89CD-44270CA87316}"/>
    <hyperlink ref="AE7" location="Dashboard!A1" display="Retour" xr:uid="{E6903B9F-2012-A944-9D9D-4BA0DBC2CA0C}"/>
  </hyperlink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0F344A-3368-4196-9969-59AECE2C036D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F13</xm:sqref>
        </x14:conditionalFormatting>
        <x14:conditionalFormatting xmlns:xm="http://schemas.microsoft.com/office/excel/2006/main">
          <x14:cfRule type="dataBar" id="{7BA500EA-5194-427F-9A64-4ED2E31D5BA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F16</xm:sqref>
        </x14:conditionalFormatting>
        <x14:conditionalFormatting xmlns:xm="http://schemas.microsoft.com/office/excel/2006/main">
          <x14:cfRule type="dataBar" id="{E79B8683-09EE-40ED-B761-EA5D6EC30606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F19</xm:sqref>
        </x14:conditionalFormatting>
        <x14:conditionalFormatting xmlns:xm="http://schemas.microsoft.com/office/excel/2006/main">
          <x14:cfRule type="dataBar" id="{CD98C651-C1C5-4B35-977B-009A6B6C17FC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F22</xm:sqref>
        </x14:conditionalFormatting>
        <x14:conditionalFormatting xmlns:xm="http://schemas.microsoft.com/office/excel/2006/main">
          <x14:cfRule type="dataBar" id="{7B13DBA4-F39D-4ABC-9DCE-E8905FAF7982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F24</xm:sqref>
        </x14:conditionalFormatting>
        <x14:conditionalFormatting xmlns:xm="http://schemas.microsoft.com/office/excel/2006/main">
          <x14:cfRule type="iconSet" priority="3" id="{4442A424-83B9-B14F-8776-FAE80076586E}">
            <x14:iconSet showValue="0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AD34:AD41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7D5547C-B621-42C6-AC70-B80D0FF3E92C}">
          <x14:formula1>
            <xm:f>Paramètres!$F$30:$F$55</xm:f>
          </x14:formula1>
          <xm:sqref>C22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4664-5FF0-DC48-AE92-6A987F6E9102}">
  <sheetPr>
    <pageSetUpPr fitToPage="1"/>
  </sheetPr>
  <dimension ref="A2:D20"/>
  <sheetViews>
    <sheetView showGridLines="0" topLeftCell="A10" zoomScale="110" zoomScaleNormal="110" workbookViewId="0">
      <selection activeCell="A5" sqref="A5"/>
    </sheetView>
  </sheetViews>
  <sheetFormatPr defaultColWidth="11.44140625" defaultRowHeight="13.8" x14ac:dyDescent="0.3"/>
  <cols>
    <col min="1" max="1" width="22" style="9" bestFit="1" customWidth="1"/>
    <col min="2" max="2" width="8.6640625" style="9" bestFit="1" customWidth="1"/>
    <col min="3" max="3" width="82.44140625" style="219" customWidth="1"/>
    <col min="4" max="4" width="73.44140625" style="9" bestFit="1" customWidth="1"/>
    <col min="5" max="16384" width="11.44140625" style="9"/>
  </cols>
  <sheetData>
    <row r="2" spans="1:4" s="8" customFormat="1" ht="39" customHeight="1" x14ac:dyDescent="0.35">
      <c r="A2" s="735" t="s">
        <v>478</v>
      </c>
      <c r="B2" s="735"/>
      <c r="C2" s="735"/>
      <c r="D2" s="735"/>
    </row>
    <row r="4" spans="1:4" x14ac:dyDescent="0.3">
      <c r="A4" s="9" t="s">
        <v>479</v>
      </c>
      <c r="B4" s="9" t="s">
        <v>101</v>
      </c>
      <c r="C4" s="219" t="s">
        <v>480</v>
      </c>
      <c r="D4" s="9" t="s">
        <v>481</v>
      </c>
    </row>
    <row r="5" spans="1:4" s="220" customFormat="1" ht="41.4" x14ac:dyDescent="0.3">
      <c r="A5" s="220" t="s">
        <v>185</v>
      </c>
      <c r="B5" s="220" t="s">
        <v>103</v>
      </c>
      <c r="C5" s="221" t="s">
        <v>482</v>
      </c>
      <c r="D5" s="221" t="s">
        <v>483</v>
      </c>
    </row>
    <row r="6" spans="1:4" s="220" customFormat="1" ht="41.4" x14ac:dyDescent="0.3">
      <c r="A6" s="220" t="s">
        <v>484</v>
      </c>
      <c r="B6" s="220" t="s">
        <v>103</v>
      </c>
      <c r="C6" s="221" t="s">
        <v>485</v>
      </c>
      <c r="D6" s="222" t="s">
        <v>486</v>
      </c>
    </row>
    <row r="7" spans="1:4" s="220" customFormat="1" x14ac:dyDescent="0.3">
      <c r="A7" s="220" t="s">
        <v>487</v>
      </c>
      <c r="B7" s="220" t="s">
        <v>470</v>
      </c>
      <c r="C7" s="221" t="s">
        <v>488</v>
      </c>
      <c r="D7" s="220" t="s">
        <v>489</v>
      </c>
    </row>
    <row r="8" spans="1:4" s="220" customFormat="1" ht="41.4" x14ac:dyDescent="0.3">
      <c r="A8" s="220" t="s">
        <v>490</v>
      </c>
      <c r="B8" s="220" t="s">
        <v>470</v>
      </c>
      <c r="C8" s="221" t="s">
        <v>491</v>
      </c>
      <c r="D8" s="223" t="s">
        <v>492</v>
      </c>
    </row>
    <row r="9" spans="1:4" s="220" customFormat="1" ht="27.6" x14ac:dyDescent="0.3">
      <c r="A9" s="220" t="s">
        <v>133</v>
      </c>
      <c r="B9" s="220" t="s">
        <v>470</v>
      </c>
      <c r="C9" s="221" t="s">
        <v>493</v>
      </c>
      <c r="D9" s="222" t="s">
        <v>494</v>
      </c>
    </row>
    <row r="10" spans="1:4" s="220" customFormat="1" x14ac:dyDescent="0.3">
      <c r="A10" s="220" t="s">
        <v>495</v>
      </c>
      <c r="B10" s="220" t="s">
        <v>108</v>
      </c>
      <c r="C10" s="221" t="s">
        <v>496</v>
      </c>
      <c r="D10" s="222" t="s">
        <v>497</v>
      </c>
    </row>
    <row r="11" spans="1:4" s="220" customFormat="1" x14ac:dyDescent="0.3">
      <c r="A11" s="220" t="s">
        <v>311</v>
      </c>
      <c r="B11" s="220" t="s">
        <v>108</v>
      </c>
      <c r="C11" s="221" t="s">
        <v>498</v>
      </c>
      <c r="D11" s="222" t="s">
        <v>499</v>
      </c>
    </row>
    <row r="12" spans="1:4" s="220" customFormat="1" ht="27.6" x14ac:dyDescent="0.3">
      <c r="A12" s="220" t="s">
        <v>119</v>
      </c>
      <c r="B12" s="220" t="s">
        <v>103</v>
      </c>
      <c r="C12" s="221" t="s">
        <v>500</v>
      </c>
      <c r="D12" s="221" t="s">
        <v>501</v>
      </c>
    </row>
    <row r="13" spans="1:4" s="220" customFormat="1" ht="27.6" x14ac:dyDescent="0.3">
      <c r="A13" s="220" t="s">
        <v>128</v>
      </c>
      <c r="B13" s="220" t="s">
        <v>108</v>
      </c>
      <c r="C13" s="221" t="s">
        <v>502</v>
      </c>
      <c r="D13" s="222" t="s">
        <v>503</v>
      </c>
    </row>
    <row r="14" spans="1:4" s="220" customFormat="1" x14ac:dyDescent="0.3">
      <c r="A14" s="220" t="s">
        <v>504</v>
      </c>
      <c r="B14" s="220" t="s">
        <v>103</v>
      </c>
      <c r="C14" s="221" t="s">
        <v>505</v>
      </c>
      <c r="D14" s="222" t="s">
        <v>506</v>
      </c>
    </row>
    <row r="15" spans="1:4" s="220" customFormat="1" x14ac:dyDescent="0.3">
      <c r="A15" s="220" t="s">
        <v>140</v>
      </c>
      <c r="B15" s="220" t="s">
        <v>108</v>
      </c>
      <c r="C15" s="221" t="s">
        <v>507</v>
      </c>
      <c r="D15" s="222" t="s">
        <v>508</v>
      </c>
    </row>
    <row r="16" spans="1:4" ht="27.6" x14ac:dyDescent="0.3">
      <c r="A16" s="220" t="s">
        <v>509</v>
      </c>
      <c r="B16" s="220" t="s">
        <v>108</v>
      </c>
      <c r="C16" s="221" t="s">
        <v>510</v>
      </c>
      <c r="D16" s="221" t="s">
        <v>511</v>
      </c>
    </row>
    <row r="17" spans="1:4" x14ac:dyDescent="0.3">
      <c r="A17" s="220" t="s">
        <v>512</v>
      </c>
      <c r="B17" s="220" t="s">
        <v>108</v>
      </c>
      <c r="C17" s="221" t="s">
        <v>513</v>
      </c>
      <c r="D17" s="222" t="s">
        <v>514</v>
      </c>
    </row>
    <row r="18" spans="1:4" x14ac:dyDescent="0.3">
      <c r="A18" s="220" t="s">
        <v>515</v>
      </c>
      <c r="B18" s="220" t="s">
        <v>108</v>
      </c>
      <c r="C18" s="221" t="s">
        <v>516</v>
      </c>
      <c r="D18" s="222" t="s">
        <v>517</v>
      </c>
    </row>
    <row r="19" spans="1:4" x14ac:dyDescent="0.3">
      <c r="A19" s="220" t="s">
        <v>518</v>
      </c>
      <c r="B19" s="220" t="s">
        <v>108</v>
      </c>
      <c r="C19" s="221" t="s">
        <v>519</v>
      </c>
      <c r="D19" s="222" t="s">
        <v>520</v>
      </c>
    </row>
    <row r="20" spans="1:4" ht="41.4" x14ac:dyDescent="0.3">
      <c r="A20" s="220" t="s">
        <v>521</v>
      </c>
      <c r="B20" s="220" t="s">
        <v>108</v>
      </c>
      <c r="C20" s="221" t="s">
        <v>522</v>
      </c>
      <c r="D20" s="222" t="s">
        <v>523</v>
      </c>
    </row>
  </sheetData>
  <mergeCells count="1">
    <mergeCell ref="A2:D2"/>
  </mergeCells>
  <pageMargins left="0.7" right="0.7" top="0.75" bottom="0.75" header="0.3" footer="0.3"/>
  <pageSetup paperSize="9" scale="70" orientation="landscape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F095D-707E-4834-B642-04748C47D112}">
  <sheetPr>
    <tabColor theme="0"/>
    <pageSetUpPr fitToPage="1"/>
  </sheetPr>
  <dimension ref="C2:I55"/>
  <sheetViews>
    <sheetView showGridLines="0" tabSelected="1" zoomScale="80" zoomScaleNormal="80" workbookViewId="0">
      <selection activeCell="F30" sqref="F30"/>
    </sheetView>
  </sheetViews>
  <sheetFormatPr defaultColWidth="14.33203125" defaultRowHeight="14.4" x14ac:dyDescent="0.3"/>
  <cols>
    <col min="1" max="2" width="5" style="236" customWidth="1"/>
    <col min="3" max="3" width="39.6640625" style="236" customWidth="1"/>
    <col min="4" max="4" width="33.44140625" style="236" customWidth="1"/>
    <col min="5" max="5" width="44.109375" style="236" customWidth="1"/>
    <col min="6" max="6" width="32.6640625" style="236" customWidth="1"/>
    <col min="7" max="8" width="15.33203125" style="236" customWidth="1"/>
    <col min="9" max="9" width="21.109375" style="236" customWidth="1"/>
    <col min="10" max="16384" width="14.33203125" style="236"/>
  </cols>
  <sheetData>
    <row r="2" spans="3:9" x14ac:dyDescent="0.3">
      <c r="C2" s="235" t="s">
        <v>524</v>
      </c>
      <c r="D2" s="235" t="s">
        <v>525</v>
      </c>
      <c r="F2" s="235" t="s">
        <v>526</v>
      </c>
    </row>
    <row r="3" spans="3:9" x14ac:dyDescent="0.3">
      <c r="C3" s="237" t="s">
        <v>527</v>
      </c>
      <c r="D3" s="238">
        <v>0</v>
      </c>
      <c r="F3" s="237" t="s">
        <v>157</v>
      </c>
    </row>
    <row r="4" spans="3:9" x14ac:dyDescent="0.3">
      <c r="C4" s="237" t="s">
        <v>528</v>
      </c>
      <c r="D4" s="239">
        <v>0.2</v>
      </c>
      <c r="F4" s="237" t="s">
        <v>47</v>
      </c>
    </row>
    <row r="5" spans="3:9" x14ac:dyDescent="0.3">
      <c r="C5" s="237" t="s">
        <v>529</v>
      </c>
      <c r="D5" s="239">
        <v>0.4</v>
      </c>
    </row>
    <row r="6" spans="3:9" x14ac:dyDescent="0.3">
      <c r="C6" s="237" t="s">
        <v>530</v>
      </c>
      <c r="D6" s="239">
        <v>0.6</v>
      </c>
    </row>
    <row r="7" spans="3:9" x14ac:dyDescent="0.3">
      <c r="C7" s="237" t="s">
        <v>531</v>
      </c>
      <c r="D7" s="239">
        <v>0.8</v>
      </c>
    </row>
    <row r="8" spans="3:9" x14ac:dyDescent="0.3">
      <c r="C8" s="237" t="s">
        <v>532</v>
      </c>
      <c r="D8" s="239">
        <v>1</v>
      </c>
    </row>
    <row r="9" spans="3:9" x14ac:dyDescent="0.3">
      <c r="C9" s="240"/>
      <c r="D9" s="241"/>
      <c r="E9" s="240"/>
    </row>
    <row r="10" spans="3:9" x14ac:dyDescent="0.3">
      <c r="C10" s="235" t="s">
        <v>533</v>
      </c>
      <c r="D10" s="235" t="s">
        <v>534</v>
      </c>
      <c r="E10" s="235" t="s">
        <v>535</v>
      </c>
      <c r="F10" s="235" t="s">
        <v>536</v>
      </c>
      <c r="G10" s="235" t="s">
        <v>537</v>
      </c>
      <c r="H10" s="235" t="s">
        <v>538</v>
      </c>
      <c r="I10" s="235" t="str">
        <f>D10</f>
        <v>Valeur sévérité</v>
      </c>
    </row>
    <row r="11" spans="3:9" x14ac:dyDescent="0.3">
      <c r="C11" s="237" t="s">
        <v>539</v>
      </c>
      <c r="D11" s="237">
        <v>1</v>
      </c>
      <c r="E11" s="237" t="s">
        <v>540</v>
      </c>
      <c r="F11" s="237" t="s">
        <v>541</v>
      </c>
      <c r="G11" s="242">
        <v>2.5000000000000001E-2</v>
      </c>
      <c r="H11" s="243">
        <v>25000</v>
      </c>
      <c r="I11" s="237">
        <f>D11</f>
        <v>1</v>
      </c>
    </row>
    <row r="12" spans="3:9" ht="28.8" x14ac:dyDescent="0.3">
      <c r="C12" s="237" t="s">
        <v>542</v>
      </c>
      <c r="D12" s="237">
        <v>2</v>
      </c>
      <c r="E12" s="237" t="s">
        <v>543</v>
      </c>
      <c r="F12" s="237" t="s">
        <v>544</v>
      </c>
      <c r="G12" s="244">
        <v>0.05</v>
      </c>
      <c r="H12" s="243">
        <v>50000</v>
      </c>
      <c r="I12" s="237">
        <f>D12</f>
        <v>2</v>
      </c>
    </row>
    <row r="13" spans="3:9" ht="28.8" x14ac:dyDescent="0.3">
      <c r="C13" s="237" t="s">
        <v>545</v>
      </c>
      <c r="D13" s="237">
        <v>3</v>
      </c>
      <c r="E13" s="237" t="s">
        <v>546</v>
      </c>
      <c r="F13" s="237" t="s">
        <v>547</v>
      </c>
      <c r="G13" s="244">
        <v>0.1</v>
      </c>
      <c r="H13" s="243">
        <v>100000</v>
      </c>
      <c r="I13" s="237">
        <f>D13</f>
        <v>3</v>
      </c>
    </row>
    <row r="14" spans="3:9" ht="28.8" x14ac:dyDescent="0.3">
      <c r="C14" s="237" t="s">
        <v>548</v>
      </c>
      <c r="D14" s="237">
        <v>4</v>
      </c>
      <c r="E14" s="237" t="s">
        <v>549</v>
      </c>
      <c r="F14" s="237" t="s">
        <v>550</v>
      </c>
      <c r="G14" s="244" t="s">
        <v>551</v>
      </c>
      <c r="H14" s="244" t="s">
        <v>552</v>
      </c>
      <c r="I14" s="237">
        <f>D14</f>
        <v>4</v>
      </c>
    </row>
    <row r="16" spans="3:9" x14ac:dyDescent="0.3">
      <c r="C16" s="235" t="s">
        <v>433</v>
      </c>
      <c r="D16" s="235" t="s">
        <v>525</v>
      </c>
      <c r="E16" s="235" t="s">
        <v>553</v>
      </c>
      <c r="G16" s="235" t="s">
        <v>261</v>
      </c>
      <c r="I16" s="235" t="s">
        <v>554</v>
      </c>
    </row>
    <row r="17" spans="3:9" ht="28.8" x14ac:dyDescent="0.3">
      <c r="C17" s="237" t="s">
        <v>555</v>
      </c>
      <c r="D17" s="237">
        <v>1</v>
      </c>
      <c r="E17" s="237" t="s">
        <v>556</v>
      </c>
      <c r="G17" s="237" t="s">
        <v>557</v>
      </c>
      <c r="I17" s="237" t="s">
        <v>25</v>
      </c>
    </row>
    <row r="18" spans="3:9" ht="28.8" x14ac:dyDescent="0.3">
      <c r="C18" s="237" t="s">
        <v>558</v>
      </c>
      <c r="D18" s="237">
        <v>2</v>
      </c>
      <c r="E18" s="237" t="s">
        <v>559</v>
      </c>
      <c r="G18" s="237" t="str">
        <f>C17</f>
        <v>Réduction</v>
      </c>
      <c r="I18" s="237" t="s">
        <v>560</v>
      </c>
    </row>
    <row r="19" spans="3:9" ht="28.8" x14ac:dyDescent="0.3">
      <c r="C19" s="237" t="s">
        <v>561</v>
      </c>
      <c r="D19" s="237">
        <v>3</v>
      </c>
      <c r="E19" s="237" t="s">
        <v>562</v>
      </c>
      <c r="I19" s="237" t="s">
        <v>99</v>
      </c>
    </row>
    <row r="20" spans="3:9" ht="28.8" x14ac:dyDescent="0.3">
      <c r="C20" s="237" t="s">
        <v>563</v>
      </c>
      <c r="D20" s="237">
        <v>4</v>
      </c>
      <c r="E20" s="237" t="s">
        <v>564</v>
      </c>
      <c r="I20" s="237" t="s">
        <v>565</v>
      </c>
    </row>
    <row r="21" spans="3:9" ht="28.8" x14ac:dyDescent="0.3">
      <c r="C21" s="240"/>
      <c r="D21" s="240"/>
      <c r="F21" s="245"/>
      <c r="G21" s="240"/>
      <c r="I21" s="237" t="s">
        <v>566</v>
      </c>
    </row>
    <row r="22" spans="3:9" x14ac:dyDescent="0.3">
      <c r="I22" s="237" t="s">
        <v>567</v>
      </c>
    </row>
    <row r="23" spans="3:9" x14ac:dyDescent="0.3">
      <c r="C23" s="235" t="s">
        <v>568</v>
      </c>
      <c r="D23" s="235" t="s">
        <v>569</v>
      </c>
      <c r="F23" s="235" t="s">
        <v>570</v>
      </c>
      <c r="G23" s="235" t="s">
        <v>525</v>
      </c>
      <c r="I23" s="237" t="s">
        <v>571</v>
      </c>
    </row>
    <row r="24" spans="3:9" x14ac:dyDescent="0.3">
      <c r="C24" s="237">
        <v>0</v>
      </c>
      <c r="D24" s="237" t="s">
        <v>572</v>
      </c>
      <c r="F24" s="246" t="s">
        <v>573</v>
      </c>
      <c r="G24" s="237">
        <v>1</v>
      </c>
      <c r="I24" s="237" t="s">
        <v>574</v>
      </c>
    </row>
    <row r="25" spans="3:9" x14ac:dyDescent="0.3">
      <c r="C25" s="237">
        <v>1</v>
      </c>
      <c r="D25" s="237" t="s">
        <v>575</v>
      </c>
      <c r="F25" s="246" t="s">
        <v>576</v>
      </c>
      <c r="G25" s="237">
        <v>2</v>
      </c>
      <c r="I25" s="237" t="s">
        <v>577</v>
      </c>
    </row>
    <row r="26" spans="3:9" x14ac:dyDescent="0.3">
      <c r="C26" s="237">
        <v>1</v>
      </c>
      <c r="D26" s="237" t="s">
        <v>98</v>
      </c>
      <c r="F26" s="246" t="s">
        <v>578</v>
      </c>
      <c r="G26" s="237">
        <v>3</v>
      </c>
      <c r="I26" s="237" t="s">
        <v>579</v>
      </c>
    </row>
    <row r="27" spans="3:9" x14ac:dyDescent="0.3">
      <c r="C27" s="237">
        <v>3</v>
      </c>
      <c r="D27" s="237" t="s">
        <v>580</v>
      </c>
      <c r="F27" s="246" t="s">
        <v>581</v>
      </c>
      <c r="G27" s="237">
        <v>4</v>
      </c>
      <c r="I27" s="237" t="s">
        <v>582</v>
      </c>
    </row>
    <row r="28" spans="3:9" x14ac:dyDescent="0.3">
      <c r="C28" s="237">
        <v>4</v>
      </c>
      <c r="D28" s="237" t="s">
        <v>583</v>
      </c>
    </row>
    <row r="29" spans="3:9" x14ac:dyDescent="0.3">
      <c r="C29" s="237">
        <v>5</v>
      </c>
      <c r="D29" s="237" t="s">
        <v>584</v>
      </c>
      <c r="F29" s="235" t="s">
        <v>585</v>
      </c>
    </row>
    <row r="30" spans="3:9" x14ac:dyDescent="0.3">
      <c r="C30" s="237">
        <v>6</v>
      </c>
      <c r="D30" s="247" t="s">
        <v>586</v>
      </c>
      <c r="F30" s="267">
        <v>45297</v>
      </c>
    </row>
    <row r="31" spans="3:9" x14ac:dyDescent="0.3">
      <c r="C31" s="237">
        <v>7</v>
      </c>
      <c r="D31" s="247" t="s">
        <v>587</v>
      </c>
      <c r="F31" s="267">
        <v>45328</v>
      </c>
    </row>
    <row r="32" spans="3:9" x14ac:dyDescent="0.3">
      <c r="C32" s="237">
        <v>8</v>
      </c>
      <c r="D32" s="247" t="s">
        <v>588</v>
      </c>
      <c r="F32" s="267">
        <v>45357</v>
      </c>
    </row>
    <row r="33" spans="3:6" x14ac:dyDescent="0.3">
      <c r="C33" s="237">
        <v>2</v>
      </c>
      <c r="D33" s="247" t="s">
        <v>589</v>
      </c>
      <c r="F33" s="267">
        <v>45388</v>
      </c>
    </row>
    <row r="34" spans="3:6" x14ac:dyDescent="0.3">
      <c r="C34" s="237">
        <v>9</v>
      </c>
      <c r="D34" s="247" t="s">
        <v>590</v>
      </c>
      <c r="F34" s="267">
        <v>45418</v>
      </c>
    </row>
    <row r="35" spans="3:6" x14ac:dyDescent="0.3">
      <c r="F35" s="267">
        <v>45449</v>
      </c>
    </row>
    <row r="36" spans="3:6" x14ac:dyDescent="0.3">
      <c r="F36" s="267">
        <v>45479</v>
      </c>
    </row>
    <row r="37" spans="3:6" x14ac:dyDescent="0.3">
      <c r="F37" s="267">
        <v>45510</v>
      </c>
    </row>
    <row r="38" spans="3:6" x14ac:dyDescent="0.3">
      <c r="F38" s="267">
        <v>45541</v>
      </c>
    </row>
    <row r="39" spans="3:6" x14ac:dyDescent="0.3">
      <c r="F39" s="267">
        <v>45571</v>
      </c>
    </row>
    <row r="40" spans="3:6" x14ac:dyDescent="0.3">
      <c r="F40" s="267">
        <v>45602</v>
      </c>
    </row>
    <row r="41" spans="3:6" x14ac:dyDescent="0.3">
      <c r="F41" s="267">
        <v>45632</v>
      </c>
    </row>
    <row r="42" spans="3:6" x14ac:dyDescent="0.3">
      <c r="F42" s="267">
        <v>45663</v>
      </c>
    </row>
    <row r="43" spans="3:6" x14ac:dyDescent="0.3">
      <c r="F43" s="267">
        <v>45694</v>
      </c>
    </row>
    <row r="44" spans="3:6" x14ac:dyDescent="0.3">
      <c r="F44" s="267">
        <v>45722</v>
      </c>
    </row>
    <row r="45" spans="3:6" x14ac:dyDescent="0.3">
      <c r="F45" s="267">
        <v>45753</v>
      </c>
    </row>
    <row r="46" spans="3:6" x14ac:dyDescent="0.3">
      <c r="F46" s="267">
        <v>45783</v>
      </c>
    </row>
    <row r="47" spans="3:6" x14ac:dyDescent="0.3">
      <c r="F47" s="267">
        <v>45814</v>
      </c>
    </row>
    <row r="48" spans="3:6" x14ac:dyDescent="0.3">
      <c r="F48" s="267">
        <v>45844</v>
      </c>
    </row>
    <row r="49" spans="6:6" x14ac:dyDescent="0.3">
      <c r="F49" s="267">
        <v>45875</v>
      </c>
    </row>
    <row r="50" spans="6:6" x14ac:dyDescent="0.3">
      <c r="F50" s="267">
        <v>45906</v>
      </c>
    </row>
    <row r="51" spans="6:6" x14ac:dyDescent="0.3">
      <c r="F51" s="267">
        <v>45936</v>
      </c>
    </row>
    <row r="52" spans="6:6" x14ac:dyDescent="0.3">
      <c r="F52" s="267">
        <v>45967</v>
      </c>
    </row>
    <row r="53" spans="6:6" x14ac:dyDescent="0.3">
      <c r="F53" s="267">
        <v>45997</v>
      </c>
    </row>
    <row r="54" spans="6:6" x14ac:dyDescent="0.3">
      <c r="F54" s="267">
        <v>46028</v>
      </c>
    </row>
    <row r="55" spans="6:6" x14ac:dyDescent="0.3">
      <c r="F55" s="267">
        <v>46059</v>
      </c>
    </row>
  </sheetData>
  <pageMargins left="0.25" right="0.25" top="0.75" bottom="0.75" header="0.3" footer="0.3"/>
  <pageSetup paperSize="9" scale="71" fitToHeight="0" orientation="landscape" r:id="rId1"/>
  <headerFooter>
    <oddHeader>&amp;LInetum&amp;C&amp;F
&amp;A&amp;RClassification : Interne</oddHeader>
    <oddFooter>&amp;LT011 fr V3.2 Nov 21&amp;CPage &amp;P/&amp;N&amp;RImprimé le  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f91f7d-2b0d-4614-8119-55b6300b0658">
      <Terms xmlns="http://schemas.microsoft.com/office/infopath/2007/PartnerControls"/>
    </lcf76f155ced4ddcb4097134ff3c332f>
    <TaxCatchAll xmlns="5a255dcf-340a-4d8f-a90e-1e28e61ca4c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2AEEBD4C70DE449FBE2D27BF49D1E9" ma:contentTypeVersion="12" ma:contentTypeDescription="Create a new document." ma:contentTypeScope="" ma:versionID="636fead044046eeb4150cff62c53a80f">
  <xsd:schema xmlns:xsd="http://www.w3.org/2001/XMLSchema" xmlns:xs="http://www.w3.org/2001/XMLSchema" xmlns:p="http://schemas.microsoft.com/office/2006/metadata/properties" xmlns:ns2="8df91f7d-2b0d-4614-8119-55b6300b0658" xmlns:ns3="5a255dcf-340a-4d8f-a90e-1e28e61ca4c6" targetNamespace="http://schemas.microsoft.com/office/2006/metadata/properties" ma:root="true" ma:fieldsID="0c49947feb933a3f0a47b81cdb36e7ba" ns2:_="" ns3:_="">
    <xsd:import namespace="8df91f7d-2b0d-4614-8119-55b6300b0658"/>
    <xsd:import namespace="5a255dcf-340a-4d8f-a90e-1e28e61ca4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91f7d-2b0d-4614-8119-55b6300b0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86764d-0046-4764-a5d1-8edc053e7f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255dcf-340a-4d8f-a90e-1e28e61ca4c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5389f-d581-4892-b11f-d31a9a5871df}" ma:internalName="TaxCatchAll" ma:showField="CatchAllData" ma:web="5a255dcf-340a-4d8f-a90e-1e28e61ca4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9617EE-DD8F-4DBB-880C-98C2996D1CCF}">
  <ds:schemaRefs>
    <ds:schemaRef ds:uri="http://schemas.microsoft.com/office/2006/metadata/properties"/>
    <ds:schemaRef ds:uri="http://schemas.microsoft.com/office/infopath/2007/PartnerControls"/>
    <ds:schemaRef ds:uri="8df91f7d-2b0d-4614-8119-55b6300b0658"/>
    <ds:schemaRef ds:uri="5a255dcf-340a-4d8f-a90e-1e28e61ca4c6"/>
  </ds:schemaRefs>
</ds:datastoreItem>
</file>

<file path=customXml/itemProps2.xml><?xml version="1.0" encoding="utf-8"?>
<ds:datastoreItem xmlns:ds="http://schemas.openxmlformats.org/officeDocument/2006/customXml" ds:itemID="{B4DE57CB-1D21-4033-A784-39F2416739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91f7d-2b0d-4614-8119-55b6300b0658"/>
    <ds:schemaRef ds:uri="5a255dcf-340a-4d8f-a90e-1e28e61ca4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2D6417-C27E-4195-A2E4-2ABE0268DC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3</vt:i4>
      </vt:variant>
    </vt:vector>
  </HeadingPairs>
  <TitlesOfParts>
    <vt:vector size="24" baseType="lpstr">
      <vt:lpstr>Fiche Doc</vt:lpstr>
      <vt:lpstr>Fiche identification</vt:lpstr>
      <vt:lpstr>TCC</vt:lpstr>
      <vt:lpstr>Missions</vt:lpstr>
      <vt:lpstr>Avancement_Facturation</vt:lpstr>
      <vt:lpstr>Recap Facturation (2)</vt:lpstr>
      <vt:lpstr>Coût Prévisionnel</vt:lpstr>
      <vt:lpstr>Coût réel Actualisé</vt:lpstr>
      <vt:lpstr>Recap Facturation</vt:lpstr>
      <vt:lpstr>S. Contractuelle</vt:lpstr>
      <vt:lpstr>Situation actuelle</vt:lpstr>
      <vt:lpstr>Parties Prenantes</vt:lpstr>
      <vt:lpstr>Livrables projet</vt:lpstr>
      <vt:lpstr>Base des Risques</vt:lpstr>
      <vt:lpstr>Liste des actions</vt:lpstr>
      <vt:lpstr>Registre Changement</vt:lpstr>
      <vt:lpstr>Avenants</vt:lpstr>
      <vt:lpstr>Statistiques</vt:lpstr>
      <vt:lpstr>Dashboard</vt:lpstr>
      <vt:lpstr>Glossaire</vt:lpstr>
      <vt:lpstr>Paramètres</vt:lpstr>
      <vt:lpstr>'Liste des actions'!Print_Area</vt:lpstr>
      <vt:lpstr>Paramètres!Print_Area</vt:lpstr>
      <vt:lpstr>'Liste des actions'!Print_Titles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ST2i</dc:creator>
  <cp:keywords/>
  <dc:description/>
  <cp:lastModifiedBy>mazen roki</cp:lastModifiedBy>
  <cp:revision/>
  <dcterms:created xsi:type="dcterms:W3CDTF">2024-07-12T07:22:54Z</dcterms:created>
  <dcterms:modified xsi:type="dcterms:W3CDTF">2026-06-13T13:41:47Z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0x0101006D2AEEBD4C70DE449FBE2D27BF49D1E9</vt:lpwstr>
  </property>
  <property fmtid="{D5CDD505-2E9C-101B-9397-08002B2CF9AE}" pid="3" name="MediaServiceImageTags">
    <vt:lpwstr/>
  </property>
</Properties>
</file>